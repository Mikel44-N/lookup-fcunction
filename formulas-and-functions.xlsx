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ayne Michael\Desktop\SKILL BUILDING\1. TECHNICAL SKILLS\1. EXCEL\2. ADVANCED FORMULAS AND FUNCTIONS(CHRIS DUTTON) 2ND COURSE\"/>
    </mc:Choice>
  </mc:AlternateContent>
  <xr:revisionPtr revIDLastSave="0" documentId="13_ncr:1_{E041F549-C112-41C7-81E5-0FF7810E2C88}" xr6:coauthVersionLast="47" xr6:coauthVersionMax="47" xr10:uidLastSave="{00000000-0000-0000-0000-000000000000}"/>
  <bookViews>
    <workbookView xWindow="-120" yWindow="-120" windowWidth="20730" windowHeight="11040" tabRatio="709" firstSheet="1" activeTab="3" xr2:uid="{00000000-000D-0000-FFFF-FFFF00000000}"/>
  </bookViews>
  <sheets>
    <sheet name="Formulas 101" sheetId="19" r:id="rId1"/>
    <sheet name="Logical Operators" sheetId="22" r:id="rId2"/>
    <sheet name="Stats Functions" sheetId="10" r:id="rId3"/>
    <sheet name="Lookup Functions" sheetId="11" r:id="rId4"/>
    <sheet name="State Abbreviations" sheetId="12" r:id="rId5"/>
    <sheet name="State Income (2001-2004)" sheetId="13" r:id="rId6"/>
    <sheet name="INDEX &amp; MATCH" sheetId="14" r:id="rId7"/>
    <sheet name="OFFSET &amp; COUNTA" sheetId="25" r:id="rId8"/>
    <sheet name="Text Functions" sheetId="16" r:id="rId9"/>
    <sheet name="Date &amp; Time Functions" sheetId="21" r:id="rId10"/>
    <sheet name="Formula Formatting" sheetId="18" r:id="rId11"/>
    <sheet name="Array Functions" sheetId="26" r:id="rId12"/>
    <sheet name="Bonus Array Function" sheetId="24" r:id="rId13"/>
  </sheets>
  <definedNames>
    <definedName name="_xlnm._FilterDatabase" localSheetId="3" hidden="1">'Lookup Functions'!$A$1:$G$205</definedName>
    <definedName name="_xlnm._FilterDatabase" localSheetId="5" hidden="1">'State Income (2001-2004)'!$B$1:$D$190</definedName>
    <definedName name="Office">'Array Functions'!$B$2:$B$16</definedName>
    <definedName name="Sales01">'Array Functions'!$D$2:$D$16</definedName>
    <definedName name="Sales02">'Array Functions'!$E$2:$E$16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2" l="1"/>
  <c r="I4" i="24" a="1"/>
  <c r="I4" i="24" s="1"/>
  <c r="J4" i="24" a="1"/>
  <c r="J4" i="24" s="1"/>
  <c r="K4" i="24" a="1"/>
  <c r="K4" i="24" s="1"/>
  <c r="L4" i="24" a="1"/>
  <c r="L4" i="24"/>
  <c r="I5" i="24" a="1"/>
  <c r="I5" i="24" s="1"/>
  <c r="J5" i="24" a="1"/>
  <c r="J5" i="24" s="1"/>
  <c r="K5" i="24" a="1"/>
  <c r="K5" i="24" s="1"/>
  <c r="L5" i="24" a="1"/>
  <c r="L5" i="24"/>
  <c r="I6" i="24" a="1"/>
  <c r="I6" i="24" s="1"/>
  <c r="J6" i="24" a="1"/>
  <c r="J6" i="24"/>
  <c r="K6" i="24" a="1"/>
  <c r="K6" i="24" s="1"/>
  <c r="L6" i="24" a="1"/>
  <c r="L6" i="24"/>
  <c r="J3" i="24" a="1"/>
  <c r="J3" i="24" s="1"/>
  <c r="K3" i="24" a="1"/>
  <c r="K3" i="24" s="1"/>
  <c r="L3" i="24" a="1"/>
  <c r="L3" i="24" s="1"/>
  <c r="I3" i="24" a="1"/>
  <c r="I3" i="24" s="1"/>
  <c r="H8" i="26" l="1" a="1"/>
  <c r="H8" i="26" s="1"/>
  <c r="H6" i="26" a="1"/>
  <c r="H6" i="26" s="1"/>
  <c r="H4" i="26" a="1"/>
  <c r="H4" i="26" s="1"/>
  <c r="H2" i="26" a="1"/>
  <c r="H2" i="26" s="1"/>
  <c r="C4" i="21" l="1"/>
  <c r="E7" i="21" s="1"/>
  <c r="C3" i="21"/>
  <c r="B7" i="21" s="1"/>
  <c r="C15" i="21" l="1"/>
  <c r="C12" i="21"/>
  <c r="C11" i="21"/>
  <c r="C9" i="21"/>
  <c r="G7" i="21"/>
  <c r="F7" i="21"/>
  <c r="D7" i="21"/>
  <c r="C7" i="21"/>
  <c r="C16" i="21" s="1"/>
  <c r="C14" i="21" l="1"/>
  <c r="H4" i="16"/>
  <c r="H5" i="16"/>
  <c r="H6" i="16"/>
  <c r="H7" i="16"/>
  <c r="H8" i="16"/>
  <c r="H9" i="16"/>
  <c r="H12" i="16"/>
  <c r="H13" i="16"/>
  <c r="H14" i="16"/>
  <c r="H15" i="16"/>
  <c r="H2" i="16"/>
  <c r="G3" i="16"/>
  <c r="H3" i="16" s="1"/>
  <c r="G4" i="16"/>
  <c r="G5" i="16"/>
  <c r="G6" i="16"/>
  <c r="G7" i="16"/>
  <c r="G8" i="16"/>
  <c r="G9" i="16"/>
  <c r="G10" i="16"/>
  <c r="H10" i="16" s="1"/>
  <c r="G11" i="16"/>
  <c r="H11" i="16" s="1"/>
  <c r="G12" i="16"/>
  <c r="G13" i="16"/>
  <c r="G14" i="16"/>
  <c r="G15" i="16"/>
  <c r="G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2" i="16"/>
  <c r="C3" i="16" l="1"/>
  <c r="C4" i="16"/>
  <c r="C5" i="16"/>
  <c r="C6" i="16"/>
  <c r="C7" i="16"/>
  <c r="C8" i="16"/>
  <c r="C9" i="16"/>
  <c r="C10" i="16"/>
  <c r="C11" i="16"/>
  <c r="C12" i="16"/>
  <c r="C13" i="16"/>
  <c r="C14" i="16"/>
  <c r="C15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2" i="16"/>
  <c r="D10" i="25" l="1"/>
  <c r="D8" i="25"/>
  <c r="D6" i="25"/>
  <c r="D4" i="25" l="1"/>
  <c r="D2" i="25"/>
  <c r="G5" i="14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" i="1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2" i="13"/>
  <c r="G195" i="11" l="1"/>
  <c r="G171" i="11"/>
  <c r="G147" i="11"/>
  <c r="G123" i="11"/>
  <c r="G115" i="11"/>
  <c r="G83" i="11"/>
  <c r="G59" i="11"/>
  <c r="G35" i="11"/>
  <c r="G11" i="11"/>
  <c r="G186" i="11"/>
  <c r="G162" i="11"/>
  <c r="G138" i="11"/>
  <c r="G130" i="11"/>
  <c r="G106" i="11"/>
  <c r="G82" i="11"/>
  <c r="G58" i="11"/>
  <c r="G34" i="11"/>
  <c r="G18" i="11"/>
  <c r="G201" i="11"/>
  <c r="G193" i="11"/>
  <c r="G169" i="11"/>
  <c r="G145" i="11"/>
  <c r="G121" i="11"/>
  <c r="G97" i="11"/>
  <c r="G81" i="11"/>
  <c r="G57" i="11"/>
  <c r="G33" i="11"/>
  <c r="G17" i="11"/>
  <c r="G200" i="11"/>
  <c r="G168" i="11"/>
  <c r="G144" i="11"/>
  <c r="G120" i="11"/>
  <c r="G96" i="11"/>
  <c r="G72" i="11"/>
  <c r="G48" i="11"/>
  <c r="G24" i="11"/>
  <c r="G183" i="11"/>
  <c r="G159" i="11"/>
  <c r="G135" i="11"/>
  <c r="G111" i="11"/>
  <c r="G79" i="11"/>
  <c r="G55" i="11"/>
  <c r="G23" i="11"/>
  <c r="G2" i="11"/>
  <c r="G198" i="11"/>
  <c r="G190" i="11"/>
  <c r="G182" i="11"/>
  <c r="G174" i="11"/>
  <c r="G166" i="11"/>
  <c r="G158" i="11"/>
  <c r="G150" i="11"/>
  <c r="G142" i="11"/>
  <c r="G134" i="11"/>
  <c r="G126" i="11"/>
  <c r="G118" i="11"/>
  <c r="G110" i="11"/>
  <c r="G102" i="11"/>
  <c r="G94" i="11"/>
  <c r="G86" i="11"/>
  <c r="G78" i="11"/>
  <c r="G70" i="11"/>
  <c r="G62" i="11"/>
  <c r="G54" i="11"/>
  <c r="G46" i="11"/>
  <c r="G38" i="11"/>
  <c r="G30" i="11"/>
  <c r="G22" i="11"/>
  <c r="G14" i="11"/>
  <c r="G6" i="11"/>
  <c r="G203" i="11"/>
  <c r="G179" i="11"/>
  <c r="G155" i="11"/>
  <c r="G139" i="11"/>
  <c r="G107" i="11"/>
  <c r="G91" i="11"/>
  <c r="G67" i="11"/>
  <c r="G43" i="11"/>
  <c r="G19" i="11"/>
  <c r="G194" i="11"/>
  <c r="G170" i="11"/>
  <c r="G146" i="11"/>
  <c r="G122" i="11"/>
  <c r="G98" i="11"/>
  <c r="G74" i="11"/>
  <c r="G50" i="11"/>
  <c r="G26" i="11"/>
  <c r="G185" i="11"/>
  <c r="G161" i="11"/>
  <c r="G137" i="11"/>
  <c r="G113" i="11"/>
  <c r="G89" i="11"/>
  <c r="G65" i="11"/>
  <c r="G41" i="11"/>
  <c r="G192" i="11"/>
  <c r="G176" i="11"/>
  <c r="G152" i="11"/>
  <c r="G136" i="11"/>
  <c r="G112" i="11"/>
  <c r="G88" i="11"/>
  <c r="G64" i="11"/>
  <c r="G40" i="11"/>
  <c r="G16" i="11"/>
  <c r="G191" i="11"/>
  <c r="G167" i="11"/>
  <c r="G151" i="11"/>
  <c r="G127" i="11"/>
  <c r="G95" i="11"/>
  <c r="G71" i="11"/>
  <c r="G47" i="11"/>
  <c r="G39" i="11"/>
  <c r="G15" i="11"/>
  <c r="G205" i="11"/>
  <c r="G197" i="11"/>
  <c r="G189" i="11"/>
  <c r="G181" i="11"/>
  <c r="G173" i="11"/>
  <c r="G165" i="11"/>
  <c r="G157" i="11"/>
  <c r="G149" i="11"/>
  <c r="G141" i="11"/>
  <c r="G133" i="11"/>
  <c r="G125" i="11"/>
  <c r="G117" i="11"/>
  <c r="G109" i="11"/>
  <c r="G101" i="11"/>
  <c r="G93" i="11"/>
  <c r="G85" i="11"/>
  <c r="G77" i="11"/>
  <c r="G69" i="11"/>
  <c r="G61" i="11"/>
  <c r="G53" i="11"/>
  <c r="G45" i="11"/>
  <c r="G37" i="11"/>
  <c r="G29" i="11"/>
  <c r="G21" i="11"/>
  <c r="G13" i="11"/>
  <c r="G5" i="11"/>
  <c r="G187" i="11"/>
  <c r="G163" i="11"/>
  <c r="G131" i="11"/>
  <c r="G99" i="11"/>
  <c r="G75" i="11"/>
  <c r="G51" i="11"/>
  <c r="G27" i="11"/>
  <c r="G3" i="11"/>
  <c r="G202" i="11"/>
  <c r="G178" i="11"/>
  <c r="G154" i="11"/>
  <c r="G114" i="11"/>
  <c r="G90" i="11"/>
  <c r="G66" i="11"/>
  <c r="G42" i="11"/>
  <c r="G10" i="11"/>
  <c r="G177" i="11"/>
  <c r="G153" i="11"/>
  <c r="G129" i="11"/>
  <c r="G105" i="11"/>
  <c r="G73" i="11"/>
  <c r="G49" i="11"/>
  <c r="G25" i="11"/>
  <c r="G9" i="11"/>
  <c r="G184" i="11"/>
  <c r="G160" i="11"/>
  <c r="G128" i="11"/>
  <c r="G104" i="11"/>
  <c r="G80" i="11"/>
  <c r="G56" i="11"/>
  <c r="G32" i="11"/>
  <c r="G8" i="11"/>
  <c r="G199" i="11"/>
  <c r="G175" i="11"/>
  <c r="G143" i="11"/>
  <c r="G119" i="11"/>
  <c r="G103" i="11"/>
  <c r="G87" i="11"/>
  <c r="G63" i="11"/>
  <c r="G31" i="11"/>
  <c r="G7" i="11"/>
  <c r="G204" i="11"/>
  <c r="G196" i="11"/>
  <c r="G188" i="11"/>
  <c r="G180" i="11"/>
  <c r="G172" i="11"/>
  <c r="G164" i="11"/>
  <c r="G156" i="11"/>
  <c r="G148" i="11"/>
  <c r="G140" i="11"/>
  <c r="G132" i="11"/>
  <c r="G124" i="11"/>
  <c r="G116" i="11"/>
  <c r="G108" i="11"/>
  <c r="G100" i="11"/>
  <c r="G92" i="11"/>
  <c r="G84" i="11"/>
  <c r="G76" i="11"/>
  <c r="G68" i="11"/>
  <c r="G60" i="11"/>
  <c r="G52" i="11"/>
  <c r="G44" i="11"/>
  <c r="G36" i="11"/>
  <c r="G28" i="11"/>
  <c r="G20" i="11"/>
  <c r="G12" i="11"/>
  <c r="G4" i="11"/>
  <c r="J9" i="10"/>
  <c r="J10" i="10"/>
  <c r="J8" i="10"/>
  <c r="I9" i="10"/>
  <c r="I10" i="10"/>
  <c r="I8" i="10"/>
  <c r="H9" i="10"/>
  <c r="H10" i="10"/>
  <c r="H8" i="10"/>
  <c r="H5" i="10" l="1"/>
  <c r="G4" i="22" l="1"/>
  <c r="G5" i="22"/>
  <c r="G6" i="22"/>
  <c r="G7" i="22"/>
  <c r="G8" i="22"/>
  <c r="G9" i="22"/>
  <c r="G10" i="22"/>
  <c r="G11" i="22"/>
  <c r="G12" i="22"/>
  <c r="G13" i="22"/>
  <c r="G14" i="22"/>
  <c r="G15" i="22"/>
  <c r="G16" i="22"/>
  <c r="G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2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2" i="22"/>
  <c r="F3" i="19" l="1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" i="19"/>
  <c r="L19" i="24" l="1" a="1"/>
  <c r="L19" i="24" s="1"/>
  <c r="K19" i="24" a="1"/>
  <c r="K19" i="24" s="1"/>
  <c r="J19" i="24" a="1"/>
  <c r="J19" i="24" s="1"/>
  <c r="I19" i="24" a="1"/>
  <c r="I19" i="24"/>
  <c r="L18" i="24" a="1"/>
  <c r="L18" i="24" s="1"/>
  <c r="K18" i="24" a="1"/>
  <c r="K18" i="24" s="1"/>
  <c r="J18" i="24" a="1"/>
  <c r="J18" i="24" s="1"/>
  <c r="I18" i="24" a="1"/>
  <c r="I18" i="24" s="1"/>
  <c r="L17" i="24" a="1"/>
  <c r="L17" i="24" s="1"/>
  <c r="K17" i="24" a="1"/>
  <c r="K17" i="24" s="1"/>
  <c r="J17" i="24" a="1"/>
  <c r="J17" i="24" s="1"/>
  <c r="I17" i="24" a="1"/>
  <c r="I17" i="24" s="1"/>
  <c r="L16" i="24" a="1"/>
  <c r="L16" i="24" s="1"/>
  <c r="K16" i="24" a="1"/>
  <c r="K16" i="24" s="1"/>
  <c r="J16" i="24" a="1"/>
  <c r="J16" i="24" s="1"/>
  <c r="I16" i="24" a="1"/>
  <c r="I16" i="24" s="1"/>
  <c r="L15" i="24" a="1"/>
  <c r="L15" i="24" s="1"/>
  <c r="K15" i="24" a="1"/>
  <c r="K15" i="24" s="1"/>
  <c r="J15" i="24" a="1"/>
  <c r="J15" i="24" s="1"/>
  <c r="I15" i="24" a="1"/>
  <c r="I15" i="24" s="1"/>
  <c r="E25" i="18"/>
  <c r="G25" i="18" s="1"/>
  <c r="C25" i="18"/>
  <c r="E24" i="18"/>
  <c r="G24" i="18" s="1"/>
  <c r="C24" i="18"/>
  <c r="E23" i="18"/>
  <c r="G23" i="18" s="1"/>
  <c r="C23" i="18"/>
  <c r="G22" i="18"/>
  <c r="C22" i="18"/>
  <c r="E21" i="18"/>
  <c r="G21" i="18" s="1"/>
  <c r="C21" i="18"/>
  <c r="G20" i="18"/>
  <c r="C20" i="18"/>
  <c r="E19" i="18"/>
  <c r="G19" i="18" s="1"/>
  <c r="C19" i="18"/>
  <c r="E18" i="18"/>
  <c r="G18" i="18" s="1"/>
  <c r="C18" i="18"/>
  <c r="E17" i="18"/>
  <c r="G17" i="18" s="1"/>
  <c r="C17" i="18"/>
  <c r="E16" i="18"/>
  <c r="G16" i="18" s="1"/>
  <c r="C16" i="18"/>
  <c r="E15" i="18"/>
  <c r="G15" i="18" s="1"/>
  <c r="C15" i="18"/>
  <c r="E14" i="18"/>
  <c r="G14" i="18" s="1"/>
  <c r="C14" i="18"/>
  <c r="E13" i="18"/>
  <c r="G13" i="18" s="1"/>
  <c r="C13" i="18"/>
  <c r="E12" i="18"/>
  <c r="G12" i="18" s="1"/>
  <c r="C12" i="18"/>
  <c r="E11" i="18"/>
  <c r="G11" i="18" s="1"/>
  <c r="C11" i="18"/>
  <c r="E10" i="18"/>
  <c r="G10" i="18" s="1"/>
  <c r="C10" i="18"/>
  <c r="E9" i="18"/>
  <c r="G9" i="18" s="1"/>
  <c r="C9" i="18"/>
  <c r="E8" i="18"/>
  <c r="G8" i="18" s="1"/>
  <c r="C8" i="18"/>
  <c r="E7" i="18"/>
  <c r="G7" i="18" s="1"/>
  <c r="C7" i="18"/>
  <c r="E6" i="18"/>
  <c r="G6" i="18" s="1"/>
  <c r="C6" i="18"/>
  <c r="E5" i="18"/>
  <c r="G5" i="18" s="1"/>
  <c r="C5" i="18"/>
  <c r="E4" i="18"/>
  <c r="G4" i="18" s="1"/>
  <c r="C4" i="18"/>
  <c r="G3" i="18"/>
  <c r="C3" i="18"/>
  <c r="E2" i="18"/>
  <c r="G2" i="18" s="1"/>
</calcChain>
</file>

<file path=xl/sharedStrings.xml><?xml version="1.0" encoding="utf-8"?>
<sst xmlns="http://schemas.openxmlformats.org/spreadsheetml/2006/main" count="871" uniqueCount="255">
  <si>
    <t>State</t>
  </si>
  <si>
    <t>Year</t>
  </si>
  <si>
    <t>Total Population</t>
  </si>
  <si>
    <t>Student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</si>
  <si>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</si>
  <si>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</si>
  <si>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</si>
  <si>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</si>
  <si>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</si>
  <si>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</si>
  <si>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</si>
  <si>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</si>
  <si>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</si>
  <si>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</si>
  <si>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</si>
  <si>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</si>
  <si>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</si>
  <si>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</si>
  <si>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</si>
  <si>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</si>
  <si>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</si>
  <si>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</si>
  <si>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</si>
  <si>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</si>
  <si>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</si>
  <si>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</si>
  <si>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</si>
  <si>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</si>
  <si>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</si>
  <si>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</si>
  <si>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</si>
  <si>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</si>
  <si>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</si>
  <si>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</si>
  <si>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</si>
  <si>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</si>
  <si>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</si>
  <si>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</si>
  <si>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</si>
  <si>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</si>
  <si>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</si>
  <si>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</si>
  <si>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</si>
  <si>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</si>
  <si>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</si>
  <si>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</si>
  <si>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</si>
  <si>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</si>
  <si>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</si>
  <si>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</si>
  <si>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</si>
  <si>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</si>
  <si>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</si>
  <si>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</si>
  <si>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</si>
  <si>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Gender</t>
  </si>
  <si>
    <t>J</t>
  </si>
  <si>
    <t>IL</t>
  </si>
  <si>
    <t>CA</t>
  </si>
  <si>
    <t>NJ</t>
  </si>
  <si>
    <t>M</t>
  </si>
  <si>
    <t>VA</t>
  </si>
  <si>
    <t>D</t>
  </si>
  <si>
    <t>LA</t>
  </si>
  <si>
    <t>OR</t>
  </si>
  <si>
    <t>K</t>
  </si>
  <si>
    <t>TX</t>
  </si>
  <si>
    <t>AL</t>
  </si>
  <si>
    <t>NY</t>
  </si>
  <si>
    <t>H</t>
  </si>
  <si>
    <t>F</t>
  </si>
  <si>
    <t>RI</t>
  </si>
  <si>
    <t>E</t>
  </si>
  <si>
    <t>WI</t>
  </si>
  <si>
    <t>MI</t>
  </si>
  <si>
    <t>B</t>
  </si>
  <si>
    <t>TN</t>
  </si>
  <si>
    <t>C</t>
  </si>
  <si>
    <t>Chicago</t>
  </si>
  <si>
    <t>FL</t>
  </si>
  <si>
    <t>NE</t>
  </si>
  <si>
    <t>A</t>
  </si>
  <si>
    <t>UT</t>
  </si>
  <si>
    <t>WV</t>
  </si>
  <si>
    <t>GA</t>
  </si>
  <si>
    <t>NC</t>
  </si>
  <si>
    <t>MA</t>
  </si>
  <si>
    <t>Boston</t>
  </si>
  <si>
    <t>OH</t>
  </si>
  <si>
    <t>MN</t>
  </si>
  <si>
    <t>ID</t>
  </si>
  <si>
    <t>L</t>
  </si>
  <si>
    <t>MO</t>
  </si>
  <si>
    <t>G</t>
  </si>
  <si>
    <t>AZ</t>
  </si>
  <si>
    <t>MD</t>
  </si>
  <si>
    <t>CO</t>
  </si>
  <si>
    <t>OK</t>
  </si>
  <si>
    <t>SD</t>
  </si>
  <si>
    <t>IN</t>
  </si>
  <si>
    <t>MS</t>
  </si>
  <si>
    <t>PA</t>
  </si>
  <si>
    <t>IA</t>
  </si>
  <si>
    <t>KY</t>
  </si>
  <si>
    <t>NH</t>
  </si>
  <si>
    <t>AK</t>
  </si>
  <si>
    <t>VT</t>
  </si>
  <si>
    <t>ND</t>
  </si>
  <si>
    <t>I</t>
  </si>
  <si>
    <t>WA</t>
  </si>
  <si>
    <t>KS</t>
  </si>
  <si>
    <t>ME</t>
  </si>
  <si>
    <t>SC</t>
  </si>
  <si>
    <t>HI</t>
  </si>
  <si>
    <t>MT</t>
  </si>
  <si>
    <t>AR</t>
  </si>
  <si>
    <t>DE</t>
  </si>
  <si>
    <t>DC</t>
  </si>
  <si>
    <t>NV</t>
  </si>
  <si>
    <t>CT</t>
  </si>
  <si>
    <t>DAY</t>
  </si>
  <si>
    <t>NM</t>
  </si>
  <si>
    <t>MONTH</t>
  </si>
  <si>
    <t>Product Category</t>
  </si>
  <si>
    <t>Store Location</t>
  </si>
  <si>
    <t>Sales</t>
  </si>
  <si>
    <t>Revenue</t>
  </si>
  <si>
    <t>Apparel &amp; Accessories</t>
  </si>
  <si>
    <t>Product Category:</t>
  </si>
  <si>
    <t>Consumer Electronics</t>
  </si>
  <si>
    <t>Health &amp; Beauty</t>
  </si>
  <si>
    <t>Total Sales</t>
  </si>
  <si>
    <t>Food &amp; Beverage</t>
  </si>
  <si>
    <t>Total Revenue</t>
  </si>
  <si>
    <t>State Abbreviation</t>
  </si>
  <si>
    <t>Per Capita Income</t>
  </si>
  <si>
    <t>WY</t>
  </si>
  <si>
    <t>Date</t>
  </si>
  <si>
    <t>Revenue Change</t>
  </si>
  <si>
    <t>Cost</t>
  </si>
  <si>
    <t>Profit</t>
  </si>
  <si>
    <t>Top Product Category</t>
  </si>
  <si>
    <t>Profit Margin</t>
  </si>
  <si>
    <t>Apparel</t>
  </si>
  <si>
    <t>Electronics</t>
  </si>
  <si>
    <t>Kids</t>
  </si>
  <si>
    <t xml:space="preserve">Start Date: </t>
  </si>
  <si>
    <t>TODAY:</t>
  </si>
  <si>
    <t>NOW:</t>
  </si>
  <si>
    <t>YEAR</t>
  </si>
  <si>
    <t>HOUR</t>
  </si>
  <si>
    <t>MINUTE</t>
  </si>
  <si>
    <t>SECOND</t>
  </si>
  <si>
    <t>WEEKDAY:</t>
  </si>
  <si>
    <t>WORKDAY:</t>
  </si>
  <si>
    <t>NETWORKDAY:</t>
  </si>
  <si>
    <t>LAST DAY OF MONTH:</t>
  </si>
  <si>
    <t>FIRST DAY OF MONTH:</t>
  </si>
  <si>
    <t>FIRST DAY OF YEAR:</t>
  </si>
  <si>
    <t>Transactions</t>
  </si>
  <si>
    <t>Year:</t>
  </si>
  <si>
    <t>Metric:</t>
  </si>
  <si>
    <t>TOTAL:</t>
  </si>
  <si>
    <t>Student</t>
  </si>
  <si>
    <t>Score</t>
  </si>
  <si>
    <t>Pass/Fail</t>
  </si>
  <si>
    <t>Letter</t>
  </si>
  <si>
    <t>Jill</t>
  </si>
  <si>
    <t>Outlier</t>
  </si>
  <si>
    <t>Award</t>
  </si>
  <si>
    <t>Tom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</si>
  <si>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</si>
  <si>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</si>
  <si>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</si>
  <si>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</si>
  <si>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</si>
  <si>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</si>
  <si>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</si>
  <si>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</si>
  <si>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</si>
  <si>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</si>
  <si>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</si>
  <si>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</si>
  <si>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</si>
  <si>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Leads</t>
  </si>
  <si>
    <t>Phone Calls</t>
  </si>
  <si>
    <t>Leads per Call</t>
  </si>
  <si>
    <t>Sales per Call</t>
  </si>
  <si>
    <t>Product Key</t>
  </si>
  <si>
    <t>Product ID (v1)</t>
  </si>
  <si>
    <t>Product ID (v2)</t>
  </si>
  <si>
    <t>Product Size (v1)</t>
  </si>
  <si>
    <t>Product Size (v2)</t>
  </si>
  <si>
    <t>Original Array</t>
  </si>
  <si>
    <t>Criteria</t>
  </si>
  <si>
    <t>Sub-Array</t>
  </si>
  <si>
    <t>Campaign</t>
  </si>
  <si>
    <t>Spend</t>
  </si>
  <si>
    <t>Start Date:</t>
  </si>
  <si>
    <t>Start Date</t>
  </si>
  <si>
    <t>End Date:</t>
  </si>
  <si>
    <t>Minimum Revenue:</t>
  </si>
  <si>
    <t>Value</t>
  </si>
  <si>
    <t>Latest Date in Column A:</t>
  </si>
  <si>
    <t># of Dates in Column A:</t>
  </si>
  <si>
    <t>Sum of all Values in Column B:</t>
  </si>
  <si>
    <t>Last Value in Column B:</t>
  </si>
  <si>
    <r>
      <t>Sum of Values</t>
    </r>
    <r>
      <rPr>
        <b/>
        <i/>
        <sz val="11"/>
        <color theme="1"/>
        <rFont val="Calibri"/>
        <family val="2"/>
        <scheme val="minor"/>
      </rPr>
      <t xml:space="preserve"> through previous day</t>
    </r>
    <r>
      <rPr>
        <i/>
        <sz val="11"/>
        <color theme="1"/>
        <rFont val="Calibri"/>
        <family val="2"/>
        <scheme val="minor"/>
      </rPr>
      <t>:</t>
    </r>
  </si>
  <si>
    <t>133462-AA-BOS_SMALL</t>
  </si>
  <si>
    <t>191768-AC-NYC_MEDIUM</t>
  </si>
  <si>
    <t>157263-BB-BOS_XL</t>
  </si>
  <si>
    <t>1734372-AA-CHI_SMALL</t>
  </si>
  <si>
    <t>135351-BC-NYC_XL</t>
  </si>
  <si>
    <t>14330305-AC-BOS_LARGE</t>
  </si>
  <si>
    <t>177772-BB-NYC_MEDIUM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</si>
  <si>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</si>
  <si>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</si>
  <si>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</si>
  <si>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</si>
  <si>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</si>
  <si>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</si>
  <si>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New Key</t>
  </si>
  <si>
    <t>City</t>
  </si>
  <si>
    <t>112283-AB-BOS_MEDIUM</t>
  </si>
  <si>
    <t>Impressions</t>
  </si>
  <si>
    <t>Clicks</t>
  </si>
  <si>
    <t>Employee</t>
  </si>
  <si>
    <t>Office</t>
  </si>
  <si>
    <t>Department</t>
  </si>
  <si>
    <t>2015 Sales</t>
  </si>
  <si>
    <t>2016 Sales</t>
  </si>
  <si>
    <t>Kathy</t>
  </si>
  <si>
    <t>BOS</t>
  </si>
  <si>
    <t>Max 2016 Sales in NYC office:</t>
  </si>
  <si>
    <t>John</t>
  </si>
  <si>
    <t>Mindy</t>
  </si>
  <si>
    <t>Max 2016 Sales in NYC office, Electronics only:</t>
  </si>
  <si>
    <t>Aaron</t>
  </si>
  <si>
    <t>Phil</t>
  </si>
  <si>
    <t>NYC</t>
  </si>
  <si>
    <t># of rows where 2016 Sales &gt; 2015 Sales:</t>
  </si>
  <si>
    <t>Bill</t>
  </si>
  <si>
    <t>Sum of 2015 and 2016 Sales in Boston:</t>
  </si>
  <si>
    <t>Lauren</t>
  </si>
  <si>
    <t>Jason</t>
  </si>
  <si>
    <t>Mark</t>
  </si>
  <si>
    <t>Kim</t>
  </si>
  <si>
    <t>CHI</t>
  </si>
  <si>
    <t>Tina</t>
  </si>
  <si>
    <t>Jean</t>
  </si>
  <si>
    <t>Sam</t>
  </si>
  <si>
    <t>Ashley</t>
  </si>
  <si>
    <t>Product ID</t>
  </si>
  <si>
    <t>Number of Product IDs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</si>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</sst>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&quot;$&quot;* #,##0.00_);_(&quot;$&quot;* \(#,##0.00\);_(&quot;$&quot;* &quot;-&quot;??_);_(@_)"/>
    <numFmt numFmtId="166" formatCode="&quot;$&quot;#,##0"/>
    <numFmt numFmtId="167" formatCode="[$-409]m/d/yy\ h:mm\ AM/PM;@"/>
    <numFmt numFmtId="168" formatCode="0.0%"/>
    <numFmt numFmtId="169" formatCode="m/d;@"/>
    <numFmt numFmtId="170" formatCode="dddd"/>
    <numFmt numFmtId="171" formatCode="&quot;$&quot;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6" fontId="3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6" fontId="3" fillId="2" borderId="0" xfId="1" applyNumberFormat="1" applyFont="1" applyFill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/>
    <xf numFmtId="14" fontId="6" fillId="0" borderId="0" xfId="0" applyNumberFormat="1" applyFont="1" applyAlignment="1">
      <alignment horizontal="center"/>
    </xf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0" xfId="0" applyNumberFormat="1"/>
    <xf numFmtId="168" fontId="1" fillId="2" borderId="0" xfId="2" applyNumberFormat="1" applyFont="1" applyFill="1" applyBorder="1" applyAlignment="1">
      <alignment horizontal="center"/>
    </xf>
    <xf numFmtId="168" fontId="0" fillId="0" borderId="0" xfId="2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4" fillId="7" borderId="0" xfId="0" applyFont="1" applyFill="1" applyAlignment="1">
      <alignment horizontal="right"/>
    </xf>
    <xf numFmtId="14" fontId="1" fillId="7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7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/>
    <xf numFmtId="169" fontId="1" fillId="2" borderId="0" xfId="0" applyNumberFormat="1" applyFont="1" applyFill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8" borderId="1" xfId="0" applyNumberFormat="1" applyFont="1" applyFill="1" applyBorder="1" applyAlignment="1">
      <alignment horizontal="center"/>
    </xf>
    <xf numFmtId="169" fontId="1" fillId="8" borderId="1" xfId="0" applyNumberFormat="1" applyFont="1" applyFill="1" applyBorder="1" applyAlignment="1">
      <alignment horizontal="center"/>
    </xf>
    <xf numFmtId="14" fontId="6" fillId="8" borderId="3" xfId="0" applyNumberFormat="1" applyFont="1" applyFill="1" applyBorder="1" applyAlignment="1">
      <alignment horizontal="center"/>
    </xf>
    <xf numFmtId="167" fontId="6" fillId="8" borderId="3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14" fontId="0" fillId="8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8" fontId="0" fillId="8" borderId="0" xfId="2" applyNumberFormat="1" applyFont="1" applyFill="1" applyAlignment="1">
      <alignment horizontal="center"/>
    </xf>
    <xf numFmtId="1" fontId="0" fillId="8" borderId="0" xfId="0" applyNumberFormat="1" applyFill="1" applyAlignment="1">
      <alignment horizontal="center"/>
    </xf>
    <xf numFmtId="166" fontId="1" fillId="8" borderId="1" xfId="0" applyNumberFormat="1" applyFont="1" applyFill="1" applyBorder="1" applyAlignment="1">
      <alignment horizontal="center"/>
    </xf>
    <xf numFmtId="3" fontId="1" fillId="8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/>
    <xf numFmtId="168" fontId="3" fillId="2" borderId="0" xfId="0" applyNumberFormat="1" applyFont="1" applyFill="1" applyAlignment="1">
      <alignment horizontal="center" vertical="center"/>
    </xf>
    <xf numFmtId="168" fontId="0" fillId="0" borderId="0" xfId="0" applyNumberFormat="1"/>
    <xf numFmtId="0" fontId="0" fillId="0" borderId="0" xfId="0" quotePrefix="1"/>
    <xf numFmtId="0" fontId="8" fillId="0" borderId="0" xfId="0" applyFont="1"/>
    <xf numFmtId="0" fontId="0" fillId="2" borderId="0" xfId="0" applyFill="1" applyAlignment="1">
      <alignment horizontal="center" vertical="center"/>
    </xf>
    <xf numFmtId="170" fontId="1" fillId="8" borderId="3" xfId="0" applyNumberFormat="1" applyFon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2" applyFont="1" applyFill="1" applyAlignment="1">
      <alignment horizontal="center"/>
    </xf>
    <xf numFmtId="14" fontId="1" fillId="8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4" fontId="1" fillId="6" borderId="0" xfId="0" applyNumberFormat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0</xdr:colOff>
      <xdr:row>14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75020" y="365760"/>
          <a:ext cx="6705600" cy="2194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</a:t>
          </a:r>
          <a:r>
            <a:rPr lang="en-US" sz="1100" u="none" baseline="0">
              <a:solidFill>
                <a:sysClr val="windowText" lastClr="000000"/>
              </a:solidFill>
            </a:rPr>
            <a:t> column E to calculate Leads per Call (column C divided by column B), and double click the lower-right corner of the cell to apply the formula down to all rows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Drag the formula from cell E2 to F2. Is "Sales per Call" being calculated properly? Use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F2</a:t>
          </a:r>
          <a:r>
            <a:rPr lang="en-US" sz="1100" b="1" u="none" baseline="0">
              <a:solidFill>
                <a:sysClr val="windowText" lastClr="000000"/>
              </a:solidFill>
            </a:rPr>
            <a:t> </a:t>
          </a:r>
          <a:r>
            <a:rPr lang="en-US" sz="1100" u="none" baseline="0">
              <a:solidFill>
                <a:sysClr val="windowText" lastClr="000000"/>
              </a:solidFill>
            </a:rPr>
            <a:t>shortcut to check which cells are being references by the formula, and try 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Trace Precedents </a:t>
          </a:r>
          <a:r>
            <a:rPr lang="en-US" sz="1100" u="none" baseline="0">
              <a:solidFill>
                <a:sysClr val="windowText" lastClr="000000"/>
              </a:solidFill>
            </a:rPr>
            <a:t>option in the Formula tab to do the same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Return to the formula in column E and update your reference types (using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F4</a:t>
          </a:r>
          <a:r>
            <a:rPr lang="en-US" sz="1100" u="none" baseline="0">
              <a:solidFill>
                <a:sysClr val="windowText" lastClr="000000"/>
              </a:solidFill>
            </a:rPr>
            <a:t> shortcut) to make sure the calculation always reads from column B, then drag the formula to column F and apply to all rows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160020</xdr:rowOff>
    </xdr:from>
    <xdr:to>
      <xdr:col>14</xdr:col>
      <xdr:colOff>251461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30441" y="160020"/>
          <a:ext cx="4023360" cy="3718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47625</xdr:rowOff>
    </xdr:from>
    <xdr:to>
      <xdr:col>11</xdr:col>
      <xdr:colOff>30480</xdr:colOff>
      <xdr:row>22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699885" y="2120265"/>
          <a:ext cx="6055995" cy="199453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(</a:t>
          </a:r>
          <a:r>
            <a:rPr lang="en-US" sz="1100" b="1" u="none">
              <a:solidFill>
                <a:sysClr val="windowText" lastClr="000000"/>
              </a:solidFill>
            </a:rPr>
            <a:t>HINT</a:t>
          </a:r>
          <a:r>
            <a:rPr lang="en-US" sz="1100" u="none">
              <a:solidFill>
                <a:sysClr val="windowText" lastClr="000000"/>
              </a:solidFill>
            </a:rPr>
            <a:t>: practice using reference types)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</a:t>
          </a:r>
          <a:r>
            <a:rPr lang="en-US" sz="1100" i="1" u="none" baseline="0">
              <a:solidFill>
                <a:sysClr val="windowText" lastClr="000000"/>
              </a:solidFill>
            </a:rPr>
            <a:t>Number of Product IDs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 and product type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247651</xdr:colOff>
      <xdr:row>1</xdr:row>
      <xdr:rowOff>152400</xdr:rowOff>
    </xdr:from>
    <xdr:to>
      <xdr:col>14</xdr:col>
      <xdr:colOff>85725</xdr:colOff>
      <xdr:row>14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258051" y="457200"/>
          <a:ext cx="4549774" cy="2168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the 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</a:t>
          </a:r>
          <a:r>
            <a:rPr lang="en-US" sz="1100" u="none" baseline="0">
              <a:solidFill>
                <a:sysClr val="windowText" lastClr="000000"/>
              </a:solidFill>
            </a:rPr>
            <a:t> field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Abbreviations</a:t>
          </a:r>
          <a:r>
            <a:rPr lang="en-US" sz="1100" u="none" baseline="0">
              <a:solidFill>
                <a:sysClr val="windowText" lastClr="000000"/>
              </a:solidFill>
            </a:rPr>
            <a:t>" tab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Income (2001-2004)</a:t>
          </a:r>
          <a:r>
            <a:rPr lang="en-US" sz="1100" u="none" baseline="0">
              <a:solidFill>
                <a:sysClr val="windowText" lastClr="000000"/>
              </a:solidFill>
            </a:rPr>
            <a:t>" tab (</a:t>
          </a:r>
          <a:r>
            <a:rPr lang="en-US" sz="1100" b="1" u="none" baseline="0">
              <a:solidFill>
                <a:sysClr val="windowText" lastClr="000000"/>
              </a:solidFill>
            </a:rPr>
            <a:t>HINT:</a:t>
          </a:r>
          <a:r>
            <a:rPr lang="en-US" sz="1100" u="none" baseline="0">
              <a:solidFill>
                <a:sysClr val="windowText" lastClr="000000"/>
              </a:solidFill>
            </a:rPr>
            <a:t> you may need to add a new field)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Change the errors in the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column to display "</a:t>
          </a:r>
          <a:r>
            <a:rPr lang="en-US" sz="1100" b="1" u="none" baseline="0">
              <a:solidFill>
                <a:sysClr val="windowText" lastClr="000000"/>
              </a:solidFill>
            </a:rPr>
            <a:t>NO INCOME DATA</a:t>
          </a:r>
          <a:r>
            <a:rPr lang="en-US" sz="1100" u="none" baseline="0">
              <a:solidFill>
                <a:sysClr val="windowText" lastClr="000000"/>
              </a:solidFill>
            </a:rPr>
            <a:t>" rather than </a:t>
          </a:r>
          <a:r>
            <a:rPr lang="en-US" sz="1100" b="1" u="none" baseline="0">
              <a:solidFill>
                <a:sysClr val="windowText" lastClr="000000"/>
              </a:solidFill>
            </a:rPr>
            <a:t>#N/A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598170</xdr:colOff>
      <xdr:row>6</xdr:row>
      <xdr:rowOff>99060</xdr:rowOff>
    </xdr:from>
    <xdr:to>
      <xdr:col>11</xdr:col>
      <xdr:colOff>436244</xdr:colOff>
      <xdr:row>18</xdr:row>
      <xdr:rowOff>22859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149090" y="1211580"/>
          <a:ext cx="4288154" cy="21183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data validation</a:t>
          </a:r>
          <a:r>
            <a:rPr lang="en-US" sz="1100" u="none">
              <a:solidFill>
                <a:sysClr val="windowText" lastClr="000000"/>
              </a:solidFill>
            </a:rPr>
            <a:t> to create a drop-down list of all years in cell </a:t>
          </a:r>
          <a:r>
            <a:rPr lang="en-US" sz="1100" i="1" u="none">
              <a:solidFill>
                <a:sysClr val="windowText" lastClr="000000"/>
              </a:solidFill>
            </a:rPr>
            <a:t>G2,</a:t>
          </a:r>
          <a:r>
            <a:rPr lang="en-US" sz="1100" u="none">
              <a:solidFill>
                <a:sysClr val="windowText" lastClr="000000"/>
              </a:solidFill>
            </a:rPr>
            <a:t> and all metrics (i.e. Transactions, Impressions, Clicks</a:t>
          </a:r>
          <a:r>
            <a:rPr lang="en-US" sz="1100" u="none" baseline="0">
              <a:solidFill>
                <a:sysClr val="windowText" lastClr="000000"/>
              </a:solidFill>
            </a:rPr>
            <a:t>)</a:t>
          </a:r>
          <a:r>
            <a:rPr lang="en-US" sz="1100" u="none">
              <a:solidFill>
                <a:sysClr val="windowText" lastClr="000000"/>
              </a:solidFill>
            </a:rPr>
            <a:t> in cell </a:t>
          </a:r>
          <a:r>
            <a:rPr lang="en-US" sz="1100" i="1" u="none">
              <a:solidFill>
                <a:sysClr val="windowText" lastClr="000000"/>
              </a:solidFill>
            </a:rPr>
            <a:t>G3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formula combining </a:t>
          </a:r>
          <a:r>
            <a:rPr lang="en-US" sz="1100" b="1" u="none" baseline="0">
              <a:solidFill>
                <a:sysClr val="windowText" lastClr="000000"/>
              </a:solidFill>
            </a:rPr>
            <a:t>INDEX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MATCH</a:t>
          </a:r>
          <a:r>
            <a:rPr lang="en-US" sz="1100" u="none" baseline="0">
              <a:solidFill>
                <a:sysClr val="windowText" lastClr="000000"/>
              </a:solidFill>
            </a:rPr>
            <a:t> in cell </a:t>
          </a:r>
          <a:r>
            <a:rPr lang="en-US" sz="1100" i="1" u="none" baseline="0">
              <a:solidFill>
                <a:sysClr val="windowText" lastClr="000000"/>
              </a:solidFill>
            </a:rPr>
            <a:t>G5</a:t>
          </a:r>
          <a:r>
            <a:rPr lang="en-US" sz="1100" u="none" baseline="0">
              <a:solidFill>
                <a:sysClr val="windowText" lastClr="000000"/>
              </a:solidFill>
            </a:rPr>
            <a:t> to pull in the correct value from the data in columns A-D, based on the year and metric selected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BONUS: </a:t>
          </a:r>
          <a:r>
            <a:rPr lang="en-US" sz="1100" u="none" baseline="0">
              <a:solidFill>
                <a:sysClr val="windowText" lastClr="000000"/>
              </a:solidFill>
            </a:rPr>
            <a:t>Update the VLOOKUP formula in the "Lookup Functions" tab to an INDEX/MATCH combo to return the same values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14</xdr:col>
      <xdr:colOff>175260</xdr:colOff>
      <xdr:row>21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120640" y="182880"/>
          <a:ext cx="5646420" cy="3733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COUNTA</a:t>
          </a:r>
          <a:r>
            <a:rPr lang="en-US" sz="110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u="none" baseline="0">
              <a:solidFill>
                <a:sysClr val="windowText" lastClr="000000"/>
              </a:solidFill>
            </a:rPr>
            <a:t>D2</a:t>
          </a:r>
          <a:r>
            <a:rPr lang="en-US" sz="1100" u="none" baseline="0">
              <a:solidFill>
                <a:sysClr val="windowText" lastClr="000000"/>
              </a:solidFill>
            </a:rPr>
            <a:t> to return the number of dates in column A (tip: don't count the header!)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2) Use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D4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latest date in column A by starting at cell A1, shifting down 20 rows, and returning the value of a single cell (height = 1, width = 1)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Update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D4 to replace the number 20 with a </a:t>
          </a:r>
          <a:r>
            <a:rPr lang="en-US" sz="1100" b="1" i="0" u="none" baseline="0">
              <a:solidFill>
                <a:sysClr val="windowText" lastClr="000000"/>
              </a:solidFill>
            </a:rPr>
            <a:t>COUNTA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that automatically identifies the last populated row in the column. Try adding more dates to see if the formula updates properly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Starting with the same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function, adjust the "cols" index to return the last value from column B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Combine </a:t>
          </a:r>
          <a:r>
            <a:rPr lang="en-US" sz="1100" b="1" i="0" u="none" baseline="0">
              <a:solidFill>
                <a:sysClr val="windowText" lastClr="000000"/>
              </a:solidFill>
            </a:rPr>
            <a:t>SUM</a:t>
          </a:r>
          <a:r>
            <a:rPr lang="en-US" sz="1100" b="0" i="0" u="none" baseline="0">
              <a:solidFill>
                <a:sysClr val="windowText" lastClr="000000"/>
              </a:solidFill>
            </a:rPr>
            <a:t> and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functions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(even though you can just use SUM)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 Starting with your formula from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, tweak it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D10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through the </a:t>
          </a:r>
          <a:r>
            <a:rPr lang="en-US" sz="1100" b="0" i="1" u="none" baseline="0">
              <a:solidFill>
                <a:sysClr val="windowText" lastClr="000000"/>
              </a:solidFill>
            </a:rPr>
            <a:t>previous</a:t>
          </a:r>
          <a:r>
            <a:rPr lang="en-US" sz="1100" b="0" i="0" u="none" baseline="0">
              <a:solidFill>
                <a:sysClr val="windowText" lastClr="000000"/>
              </a:solidFill>
            </a:rPr>
            <a:t> day (in other words, all values except for the last one)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1</xdr:row>
      <xdr:rowOff>38100</xdr:rowOff>
    </xdr:from>
    <xdr:to>
      <xdr:col>17</xdr:col>
      <xdr:colOff>480060</xdr:colOff>
      <xdr:row>28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0736580" y="220980"/>
          <a:ext cx="5676900" cy="49072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the </a:t>
          </a:r>
          <a:r>
            <a:rPr lang="en-US" sz="1100" b="1" u="none">
              <a:solidFill>
                <a:sysClr val="windowText" lastClr="000000"/>
              </a:solidFill>
            </a:rPr>
            <a:t>LEFT</a:t>
          </a:r>
          <a:r>
            <a:rPr lang="en-US" sz="1100" u="none">
              <a:solidFill>
                <a:sysClr val="windowText" lastClr="000000"/>
              </a:solidFill>
            </a:rPr>
            <a:t> function to populate the </a:t>
          </a:r>
          <a:r>
            <a:rPr lang="en-US" sz="1100" b="1" u="none">
              <a:solidFill>
                <a:sysClr val="windowText" lastClr="000000"/>
              </a:solidFill>
            </a:rPr>
            <a:t>Product ID </a:t>
          </a:r>
          <a:r>
            <a:rPr lang="en-US" sz="1100" u="none">
              <a:solidFill>
                <a:sysClr val="windowText" lastClr="000000"/>
              </a:solidFill>
            </a:rPr>
            <a:t>column, </a:t>
          </a:r>
          <a:r>
            <a:rPr lang="en-US" sz="1100" u="none" baseline="0">
              <a:solidFill>
                <a:sysClr val="windowText" lastClr="000000"/>
              </a:solidFill>
            </a:rPr>
            <a:t>equal to the first six characters of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r>
            <a:rPr lang="en-US" sz="1100" u="none" baseline="0">
              <a:solidFill>
                <a:sysClr val="windowText" lastClr="000000"/>
              </a:solidFill>
            </a:rPr>
            <a:t> in column A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Turns out that some product IDs may be longer than 6 characters... In column C, update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ID</a:t>
          </a:r>
          <a:r>
            <a:rPr lang="en-US" sz="1100" u="none" baseline="0">
              <a:solidFill>
                <a:sysClr val="windowText" lastClr="000000"/>
              </a:solidFill>
            </a:rPr>
            <a:t> formula to combine </a:t>
          </a:r>
          <a:r>
            <a:rPr lang="en-US" sz="1100" b="1" u="none" baseline="0">
              <a:solidFill>
                <a:sysClr val="windowText" lastClr="000000"/>
              </a:solidFill>
            </a:rPr>
            <a:t>LEFT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 </a:t>
          </a:r>
          <a:r>
            <a:rPr lang="en-US" sz="1100" b="0" u="none" baseline="0">
              <a:solidFill>
                <a:sysClr val="windowText" lastClr="000000"/>
              </a:solidFill>
            </a:rPr>
            <a:t>functions</a:t>
          </a:r>
          <a:r>
            <a:rPr lang="en-US" sz="1100" u="none" baseline="0">
              <a:solidFill>
                <a:sysClr val="windowText" lastClr="000000"/>
              </a:solidFill>
            </a:rPr>
            <a:t>, allowing you to return ALL characters to the left of the first "-"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Category</a:t>
          </a:r>
          <a:r>
            <a:rPr lang="en-US" sz="1100" u="none" baseline="0">
              <a:solidFill>
                <a:sysClr val="windowText" lastClr="000000"/>
              </a:solidFill>
            </a:rPr>
            <a:t> column in column D using </a:t>
          </a:r>
          <a:r>
            <a:rPr lang="en-US" sz="1100" b="1" u="none" baseline="0">
              <a:solidFill>
                <a:sysClr val="windowText" lastClr="000000"/>
              </a:solidFill>
            </a:rPr>
            <a:t>MID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u="none" baseline="0">
              <a:solidFill>
                <a:sysClr val="windowText" lastClr="000000"/>
              </a:solidFill>
            </a:rPr>
            <a:t>, to return the two characters immediately following the first "-" in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4) Populate </a:t>
          </a:r>
          <a:r>
            <a:rPr lang="en-US" sz="1100" b="1" u="none" baseline="0">
              <a:solidFill>
                <a:sysClr val="windowText" lastClr="000000"/>
              </a:solidFill>
            </a:rPr>
            <a:t>Product Size</a:t>
          </a:r>
          <a:r>
            <a:rPr lang="en-US" sz="1100" b="0" u="none" baseline="0">
              <a:solidFill>
                <a:sysClr val="windowText" lastClr="000000"/>
              </a:solidFill>
            </a:rPr>
            <a:t> using </a:t>
          </a:r>
          <a:r>
            <a:rPr lang="en-US" sz="1100" b="1" u="none" baseline="0">
              <a:solidFill>
                <a:sysClr val="windowText" lastClr="000000"/>
              </a:solidFill>
            </a:rPr>
            <a:t>IF</a:t>
          </a:r>
          <a:r>
            <a:rPr lang="en-US" sz="1100" b="0" u="none" baseline="0">
              <a:solidFill>
                <a:sysClr val="windowText" lastClr="000000"/>
              </a:solidFill>
            </a:rPr>
            <a:t>, </a:t>
          </a:r>
          <a:r>
            <a:rPr lang="en-US" sz="1100" b="1" u="none" baseline="0">
              <a:solidFill>
                <a:sysClr val="windowText" lastClr="000000"/>
              </a:solidFill>
            </a:rPr>
            <a:t>ISNUMBER</a:t>
          </a:r>
          <a:r>
            <a:rPr lang="en-US" sz="1100" b="0" u="none" baseline="0">
              <a:solidFill>
                <a:sysClr val="windowText" lastClr="000000"/>
              </a:solidFill>
            </a:rPr>
            <a:t>,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b="0" u="none" baseline="0">
              <a:solidFill>
                <a:sysClr val="windowText" lastClr="000000"/>
              </a:solidFill>
            </a:rPr>
            <a:t> functions, based on the logic below:</a:t>
          </a: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"SMALL", Size = </a:t>
          </a:r>
          <a:r>
            <a:rPr lang="en-US" sz="1100" b="1" u="none" baseline="0">
              <a:solidFill>
                <a:sysClr val="windowText" lastClr="000000"/>
              </a:solidFill>
            </a:rPr>
            <a:t>Small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"MEDIUM",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Medium</a:t>
          </a:r>
          <a:endParaRPr lang="en-US" b="1">
            <a:solidFill>
              <a:sysClr val="windowText" lastClr="000000"/>
            </a:solidFill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"LARGE",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Large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"XL", Size = </a:t>
          </a:r>
          <a:r>
            <a:rPr lang="en-US" sz="1100" b="1" u="none" baseline="0">
              <a:solidFill>
                <a:sysClr val="windowText" lastClr="000000"/>
              </a:solidFill>
            </a:rPr>
            <a:t>XL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5) Instead of using IF(ISNUMBER(SEARCH)), write a formula in column F to pull all characters from the right of the Product Key following the underscore ("_") </a:t>
          </a:r>
          <a:r>
            <a:rPr lang="en-US" sz="1100" b="0" i="1" u="none" baseline="0">
              <a:solidFill>
                <a:sysClr val="windowText" lastClr="000000"/>
              </a:solidFill>
            </a:rPr>
            <a:t>(</a:t>
          </a:r>
          <a:r>
            <a:rPr lang="en-US" sz="1100" b="1" i="1" u="none" baseline="0">
              <a:solidFill>
                <a:sysClr val="windowText" lastClr="000000"/>
              </a:solidFill>
            </a:rPr>
            <a:t>hint</a:t>
          </a:r>
          <a:r>
            <a:rPr lang="en-US" sz="1100" b="0" i="1" u="none" baseline="0">
              <a:solidFill>
                <a:sysClr val="windowText" lastClr="000000"/>
              </a:solidFill>
            </a:rPr>
            <a:t>: use RIGHT, LEN, and SEARCH)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6) How can we extract the city name ("BOS", "NYC" or "CHI"), which follows the </a:t>
          </a:r>
          <a:r>
            <a:rPr lang="en-US" sz="1100" b="0" i="1" u="none" baseline="0">
              <a:solidFill>
                <a:sysClr val="windowText" lastClr="000000"/>
              </a:solidFill>
            </a:rPr>
            <a:t>second</a:t>
          </a:r>
          <a:r>
            <a:rPr lang="en-US" sz="1100" b="0" u="none" baseline="0">
              <a:solidFill>
                <a:sysClr val="windowText" lastClr="000000"/>
              </a:solidFill>
            </a:rPr>
            <a:t> dash in the Product Key? Start by creating a new version of the product key in column G which substitutes a pipe ("|") in place of the second dash ("-"), then write a function in column H to return the 3 characters after the pipe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</xdr:row>
      <xdr:rowOff>57150</xdr:rowOff>
    </xdr:from>
    <xdr:to>
      <xdr:col>13</xdr:col>
      <xdr:colOff>19050</xdr:colOff>
      <xdr:row>24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6646545" y="247650"/>
          <a:ext cx="3400425" cy="454533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TODAY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NOW</a:t>
          </a:r>
          <a:r>
            <a:rPr lang="en-US" sz="1100" u="none" baseline="0">
              <a:solidFill>
                <a:sysClr val="windowText" lastClr="000000"/>
              </a:solidFill>
            </a:rPr>
            <a:t> functions to populate cells </a:t>
          </a:r>
          <a:r>
            <a:rPr lang="en-US" sz="1100" b="0" i="1" u="none" baseline="0">
              <a:solidFill>
                <a:sysClr val="windowText" lastClr="000000"/>
              </a:solidFill>
            </a:rPr>
            <a:t>C3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0" i="1" u="none" baseline="0">
              <a:solidFill>
                <a:sysClr val="windowText" lastClr="000000"/>
              </a:solidFill>
            </a:rPr>
            <a:t>C4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Based on the current time, populate the Year, Month, Day, Hour, Minute, and Second in </a:t>
          </a:r>
          <a:r>
            <a:rPr lang="en-US" sz="1100" b="0" i="0" u="none" baseline="0">
              <a:solidFill>
                <a:sysClr val="windowText" lastClr="000000"/>
              </a:solidFill>
            </a:rPr>
            <a:t>row</a:t>
          </a:r>
          <a:r>
            <a:rPr lang="en-US" sz="1100" b="0" i="1" u="none" baseline="0">
              <a:solidFill>
                <a:sysClr val="windowText" lastClr="000000"/>
              </a:solidFill>
            </a:rPr>
            <a:t> 7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the </a:t>
          </a:r>
          <a:r>
            <a:rPr lang="en-US" sz="1100" b="1" u="none" baseline="0">
              <a:solidFill>
                <a:sysClr val="windowText" lastClr="000000"/>
              </a:solidFill>
            </a:rPr>
            <a:t>WEEKDAY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the current day of the week, then custom format the cell to show the full day name rather than an index number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Use the </a:t>
          </a:r>
          <a:r>
            <a:rPr lang="en-US" sz="1100" b="1" u="none" baseline="0">
              <a:solidFill>
                <a:sysClr val="windowText" lastClr="000000"/>
              </a:solidFill>
            </a:rPr>
            <a:t>WORKDAY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what date will fall 50 days from now, excluding weekends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Use the </a:t>
          </a:r>
          <a:r>
            <a:rPr lang="en-US" sz="1100" b="1" u="none" baseline="0">
              <a:solidFill>
                <a:sysClr val="windowText" lastClr="000000"/>
              </a:solidFill>
            </a:rPr>
            <a:t>NETWORKDAYS</a:t>
          </a:r>
          <a:r>
            <a:rPr lang="en-US" sz="1100" u="none" baseline="0">
              <a:solidFill>
                <a:sysClr val="windowText" lastClr="000000"/>
              </a:solidFill>
            </a:rPr>
            <a:t> function to count the number of workdays between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C2</a:t>
          </a:r>
          <a:r>
            <a:rPr lang="en-US" sz="1100" u="none" baseline="0">
              <a:solidFill>
                <a:sysClr val="windowText" lastClr="000000"/>
              </a:solidFill>
            </a:rPr>
            <a:t> and the current date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6) Use the </a:t>
          </a:r>
          <a:r>
            <a:rPr lang="en-US" sz="1100" b="1" u="none" baseline="0">
              <a:solidFill>
                <a:sysClr val="windowText" lastClr="000000"/>
              </a:solidFill>
            </a:rPr>
            <a:t>EOMONTH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the last day of the current month, the first day of the current month, and the first day of the current year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7) Drag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B19</a:t>
          </a:r>
          <a:r>
            <a:rPr lang="en-US" sz="1100" u="none" baseline="0">
              <a:solidFill>
                <a:sysClr val="windowText" lastClr="000000"/>
              </a:solidFill>
            </a:rPr>
            <a:t> down to</a:t>
          </a:r>
          <a:r>
            <a:rPr lang="en-US" sz="1100" b="1" u="none" baseline="0">
              <a:solidFill>
                <a:sysClr val="windowText" lastClr="000000"/>
              </a:solidFill>
            </a:rPr>
            <a:t> </a:t>
          </a:r>
          <a:r>
            <a:rPr lang="en-US" sz="1100" b="0" i="0" u="none" baseline="0">
              <a:solidFill>
                <a:sysClr val="windowText" lastClr="000000"/>
              </a:solidFill>
            </a:rPr>
            <a:t>row </a:t>
          </a:r>
          <a:r>
            <a:rPr lang="en-US" sz="1100" b="0" i="1" u="none" baseline="0">
              <a:solidFill>
                <a:sysClr val="windowText" lastClr="000000"/>
              </a:solidFill>
            </a:rPr>
            <a:t>30</a:t>
          </a:r>
          <a:r>
            <a:rPr lang="en-US" sz="1100" u="none" baseline="0">
              <a:solidFill>
                <a:sysClr val="windowText" lastClr="000000"/>
              </a:solidFill>
            </a:rPr>
            <a:t>, and test filling the series by day, weekday, month, and year  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1</xdr:row>
      <xdr:rowOff>70485</xdr:rowOff>
    </xdr:from>
    <xdr:to>
      <xdr:col>16</xdr:col>
      <xdr:colOff>182879</xdr:colOff>
      <xdr:row>20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804784" y="253365"/>
          <a:ext cx="5469255" cy="34499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Format the </a:t>
          </a:r>
          <a:r>
            <a:rPr lang="en-US" sz="1100" i="1" u="none">
              <a:solidFill>
                <a:sysClr val="windowText" lastClr="000000"/>
              </a:solidFill>
            </a:rPr>
            <a:t>Revenue</a:t>
          </a:r>
          <a:r>
            <a:rPr lang="en-US" sz="1100" u="none">
              <a:solidFill>
                <a:sysClr val="windowText" lastClr="000000"/>
              </a:solidFill>
            </a:rPr>
            <a:t> column as currency, with no decimal places, and use the </a:t>
          </a:r>
          <a:r>
            <a:rPr lang="en-US" sz="1100" b="1" u="none">
              <a:solidFill>
                <a:sysClr val="windowText" lastClr="000000"/>
              </a:solidFill>
            </a:rPr>
            <a:t>format painter</a:t>
          </a:r>
          <a:r>
            <a:rPr lang="en-US" sz="1100" u="none">
              <a:solidFill>
                <a:sysClr val="windowText" lastClr="000000"/>
              </a:solidFill>
            </a:rPr>
            <a:t> to apply the same formatting to columns </a:t>
          </a:r>
          <a:r>
            <a:rPr lang="en-US" sz="1100" b="0" i="1" u="none">
              <a:solidFill>
                <a:sysClr val="windowText" lastClr="000000"/>
              </a:solidFill>
            </a:rPr>
            <a:t>C</a:t>
          </a:r>
          <a:r>
            <a:rPr lang="en-US" sz="1100" u="none">
              <a:solidFill>
                <a:sysClr val="windowText" lastClr="000000"/>
              </a:solidFill>
            </a:rPr>
            <a:t>, </a:t>
          </a:r>
          <a:r>
            <a:rPr lang="en-US" sz="1100" b="0" i="1" u="none">
              <a:solidFill>
                <a:sysClr val="windowText" lastClr="000000"/>
              </a:solidFill>
            </a:rPr>
            <a:t>D</a:t>
          </a:r>
          <a:r>
            <a:rPr lang="en-US" sz="1100" u="none">
              <a:solidFill>
                <a:sysClr val="windowText" lastClr="000000"/>
              </a:solidFill>
            </a:rPr>
            <a:t>, and </a:t>
          </a:r>
          <a:r>
            <a:rPr lang="en-US" sz="1100" b="0" i="1" u="none">
              <a:solidFill>
                <a:sysClr val="windowText" lastClr="000000"/>
              </a:solidFill>
            </a:rPr>
            <a:t>E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Format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Profit Margin</a:t>
          </a:r>
          <a:r>
            <a:rPr lang="en-US" sz="1100" u="none" baseline="0">
              <a:solidFill>
                <a:sysClr val="windowText" lastClr="000000"/>
              </a:solidFill>
            </a:rPr>
            <a:t> column as a percent, with 1 decimal place</a:t>
          </a:r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3) Use </a:t>
          </a:r>
          <a:r>
            <a:rPr lang="en-US" sz="1100" b="1" u="none">
              <a:solidFill>
                <a:sysClr val="windowText" lastClr="000000"/>
              </a:solidFill>
            </a:rPr>
            <a:t>conditional</a:t>
          </a:r>
          <a:r>
            <a:rPr lang="en-US" sz="1100" b="1" u="none" baseline="0">
              <a:solidFill>
                <a:sysClr val="windowText" lastClr="000000"/>
              </a:solidFill>
            </a:rPr>
            <a:t> formatting</a:t>
          </a:r>
          <a:r>
            <a:rPr lang="en-US" sz="1100" u="none" baseline="0">
              <a:solidFill>
                <a:sysClr val="windowText" lastClr="000000"/>
              </a:solidFill>
            </a:rPr>
            <a:t> to add a c</a:t>
          </a:r>
          <a:r>
            <a:rPr lang="en-US" sz="1100" u="none">
              <a:solidFill>
                <a:sysClr val="windowText" lastClr="000000"/>
              </a:solidFill>
            </a:rPr>
            <a:t>olor scale to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</a:t>
          </a:r>
          <a:r>
            <a:rPr lang="en-US" sz="1100" i="1" u="none">
              <a:solidFill>
                <a:sysClr val="windowText" lastClr="000000"/>
              </a:solidFill>
            </a:rPr>
            <a:t>rofit Margin</a:t>
          </a:r>
          <a:r>
            <a:rPr lang="en-US" sz="1100" u="none">
              <a:solidFill>
                <a:sysClr val="windowText" lastClr="000000"/>
              </a:solidFill>
            </a:rPr>
            <a:t> column (low values = red, high values = green)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4) Use </a:t>
          </a:r>
          <a:r>
            <a:rPr lang="en-US" sz="1100" b="1" u="none">
              <a:solidFill>
                <a:sysClr val="windowText" lastClr="000000"/>
              </a:solidFill>
            </a:rPr>
            <a:t>conditional formatting</a:t>
          </a:r>
          <a:r>
            <a:rPr lang="en-US" sz="1100" u="none" baseline="0">
              <a:solidFill>
                <a:sysClr val="windowText" lastClr="000000"/>
              </a:solidFill>
            </a:rPr>
            <a:t> to a</a:t>
          </a:r>
          <a:r>
            <a:rPr lang="en-US" sz="1100" u="none">
              <a:solidFill>
                <a:sysClr val="windowText" lastClr="000000"/>
              </a:solidFill>
            </a:rPr>
            <a:t>dd directional</a:t>
          </a:r>
          <a:r>
            <a:rPr lang="en-US" sz="1100" u="none" baseline="0">
              <a:solidFill>
                <a:sysClr val="windowText" lastClr="000000"/>
              </a:solidFill>
            </a:rPr>
            <a:t> arrow icons to the </a:t>
          </a:r>
          <a:r>
            <a:rPr lang="en-US" sz="1100" i="1" u="none" baseline="0">
              <a:solidFill>
                <a:sysClr val="windowText" lastClr="000000"/>
              </a:solidFill>
            </a:rPr>
            <a:t>Revenue Change</a:t>
          </a:r>
          <a:r>
            <a:rPr lang="en-US" sz="1100" u="none" baseline="0">
              <a:solidFill>
                <a:sysClr val="windowText" lastClr="000000"/>
              </a:solidFill>
            </a:rPr>
            <a:t> column, and edit to show an up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&gt;200</a:t>
          </a:r>
          <a:r>
            <a:rPr lang="en-US" sz="1100" u="none" baseline="0">
              <a:solidFill>
                <a:sysClr val="windowText" lastClr="000000"/>
              </a:solidFill>
            </a:rPr>
            <a:t> and a down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&lt;-200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Create a </a:t>
          </a:r>
          <a:r>
            <a:rPr lang="en-US" sz="1100" b="1" u="none" baseline="0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 baseline="0">
              <a:solidFill>
                <a:sysClr val="windowText" lastClr="000000"/>
              </a:solidFill>
            </a:rPr>
            <a:t>to</a:t>
          </a:r>
          <a:r>
            <a:rPr lang="en-US" sz="1100" i="0" u="none" baseline="0">
              <a:solidFill>
                <a:sysClr val="windowText" lastClr="000000"/>
              </a:solidFill>
            </a:rPr>
            <a:t> format the</a:t>
          </a:r>
          <a:r>
            <a:rPr lang="en-US" sz="1100" u="none" baseline="0">
              <a:solidFill>
                <a:sysClr val="windowText" lastClr="000000"/>
              </a:solidFill>
            </a:rPr>
            <a:t> dates in column A as </a:t>
          </a:r>
          <a:r>
            <a:rPr lang="en-US" sz="1100" b="0" u="none" baseline="0">
              <a:solidFill>
                <a:sysClr val="windowText" lastClr="000000"/>
              </a:solidFill>
            </a:rPr>
            <a:t>bold</a:t>
          </a:r>
          <a:r>
            <a:rPr lang="en-US" sz="1100" u="none" baseline="0">
              <a:solidFill>
                <a:sysClr val="windowText" lastClr="000000"/>
              </a:solidFill>
            </a:rPr>
            <a:t> with dark red text and light red fill when the profit margin in column </a:t>
          </a:r>
          <a:r>
            <a:rPr lang="en-US" sz="1100" i="1" u="none" baseline="0">
              <a:solidFill>
                <a:sysClr val="windowText" lastClr="000000"/>
              </a:solidFill>
            </a:rPr>
            <a:t>G</a:t>
          </a:r>
          <a:r>
            <a:rPr lang="en-US" sz="1100" u="none" baseline="0">
              <a:solidFill>
                <a:sysClr val="windowText" lastClr="000000"/>
              </a:solidFill>
            </a:rPr>
            <a:t> is </a:t>
          </a:r>
          <a:r>
            <a:rPr lang="en-US" sz="1100" b="1" u="none" baseline="0">
              <a:solidFill>
                <a:sysClr val="windowText" lastClr="000000"/>
              </a:solidFill>
            </a:rPr>
            <a:t>&lt;40%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6) Add a </a:t>
          </a:r>
          <a:r>
            <a:rPr lang="en-US" sz="1100" b="1" u="none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>
              <a:solidFill>
                <a:sysClr val="windowText" lastClr="000000"/>
              </a:solidFill>
            </a:rPr>
            <a:t>to </a:t>
          </a:r>
          <a:r>
            <a:rPr lang="en-US" sz="1100" u="none" baseline="0">
              <a:solidFill>
                <a:sysClr val="windowText" lastClr="000000"/>
              </a:solidFill>
            </a:rPr>
            <a:t>highlight rows in columns A-F light yellow when the Top Product Category = "Kids"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9</xdr:row>
      <xdr:rowOff>106681</xdr:rowOff>
    </xdr:from>
    <xdr:to>
      <xdr:col>15</xdr:col>
      <xdr:colOff>198120</xdr:colOff>
      <xdr:row>20</xdr:row>
      <xdr:rowOff>137160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4937760" y="1813561"/>
          <a:ext cx="8359140" cy="20421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In cell </a:t>
          </a:r>
          <a:r>
            <a:rPr lang="en-US" sz="1100" b="1" u="none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, use</a:t>
          </a:r>
          <a:r>
            <a:rPr lang="en-US" sz="1100" u="none" baseline="0">
              <a:solidFill>
                <a:sysClr val="windowText" lastClr="000000"/>
              </a:solidFill>
            </a:rPr>
            <a:t> an </a:t>
          </a:r>
          <a:r>
            <a:rPr lang="en-US" sz="1100" b="1" u="none" baseline="0">
              <a:solidFill>
                <a:sysClr val="windowText" lastClr="000000"/>
              </a:solidFill>
            </a:rPr>
            <a:t>array formula </a:t>
          </a:r>
          <a:r>
            <a:rPr lang="en-US" sz="1100" b="0" u="none" baseline="0">
              <a:solidFill>
                <a:sysClr val="windowText" lastClr="000000"/>
              </a:solidFill>
            </a:rPr>
            <a:t>with</a:t>
          </a:r>
          <a:r>
            <a:rPr lang="en-US" sz="1100" b="1" u="none" baseline="0">
              <a:solidFill>
                <a:sysClr val="windowText" lastClr="000000"/>
              </a:solidFill>
            </a:rPr>
            <a:t> MAX </a:t>
          </a:r>
          <a:r>
            <a:rPr lang="en-US" sz="1100" b="0" u="none" baseline="0">
              <a:solidFill>
                <a:sysClr val="windowText" lastClr="000000"/>
              </a:solidFill>
            </a:rPr>
            <a:t>and</a:t>
          </a:r>
          <a:r>
            <a:rPr lang="en-US" sz="1100" b="1" u="none" baseline="0">
              <a:solidFill>
                <a:sysClr val="windowText" lastClr="000000"/>
              </a:solidFill>
            </a:rPr>
            <a:t> IF </a:t>
          </a:r>
          <a:r>
            <a:rPr lang="en-US" sz="1100" u="none" baseline="0">
              <a:solidFill>
                <a:sysClr val="windowText" lastClr="000000"/>
              </a:solidFill>
            </a:rPr>
            <a:t>to calculate the maximum 2016 Sales (column E) in the New York office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2) In cell </a:t>
          </a:r>
          <a:r>
            <a:rPr lang="en-US" sz="1100" b="1" u="none" baseline="0">
              <a:solidFill>
                <a:sysClr val="windowText" lastClr="000000"/>
              </a:solidFill>
            </a:rPr>
            <a:t>H4</a:t>
          </a:r>
          <a:r>
            <a:rPr lang="en-US" sz="1100" b="0" u="none" baseline="0">
              <a:solidFill>
                <a:sysClr val="windowText" lastClr="000000"/>
              </a:solidFill>
            </a:rPr>
            <a:t>, use an </a:t>
          </a:r>
          <a:r>
            <a:rPr lang="en-US" sz="1100" b="1" u="none" baseline="0">
              <a:solidFill>
                <a:sysClr val="windowText" lastClr="000000"/>
              </a:solidFill>
            </a:rPr>
            <a:t>array formula</a:t>
          </a:r>
          <a:r>
            <a:rPr lang="en-US" sz="1100" b="0" u="none" baseline="0">
              <a:solidFill>
                <a:sysClr val="windowText" lastClr="000000"/>
              </a:solidFill>
            </a:rPr>
            <a:t> to calculate the maximum 2016 Sales (column E) in the New York office, </a:t>
          </a:r>
          <a:r>
            <a:rPr lang="en-US" sz="1100" b="0" i="1" u="none" baseline="0">
              <a:solidFill>
                <a:sysClr val="windowText" lastClr="000000"/>
              </a:solidFill>
            </a:rPr>
            <a:t>for the Electronics department only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H6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an </a:t>
          </a:r>
          <a:r>
            <a:rPr lang="en-US" sz="1100" b="1" i="0" u="none" baseline="0">
              <a:solidFill>
                <a:sysClr val="windowText" lastClr="000000"/>
              </a:solidFill>
            </a:rPr>
            <a:t>array formula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return the total number of rows where 2016 Sales (column E) are greater than 2015 Sales (column D) (</a:t>
          </a:r>
          <a:r>
            <a:rPr lang="en-US" sz="1100" b="1" i="1" u="none" baseline="0">
              <a:solidFill>
                <a:sysClr val="windowText" lastClr="000000"/>
              </a:solidFill>
            </a:rPr>
            <a:t>Hint:</a:t>
          </a:r>
          <a:r>
            <a:rPr lang="en-US" sz="1100" b="0" i="1" u="none" baseline="0">
              <a:solidFill>
                <a:sysClr val="windowText" lastClr="000000"/>
              </a:solidFill>
            </a:rPr>
            <a:t> use a double unary operator</a:t>
          </a:r>
          <a:r>
            <a:rPr lang="en-US" sz="1100" b="0" i="0" u="none" baseline="0">
              <a:solidFill>
                <a:sysClr val="windowText" lastClr="000000"/>
              </a:solidFill>
            </a:rPr>
            <a:t>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H8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an </a:t>
          </a:r>
          <a:r>
            <a:rPr lang="en-US" sz="1100" b="1" i="0" u="none" baseline="0">
              <a:solidFill>
                <a:sysClr val="windowText" lastClr="000000"/>
              </a:solidFill>
            </a:rPr>
            <a:t>array formula </a:t>
          </a:r>
          <a:r>
            <a:rPr lang="en-US" sz="1100" b="0" i="0" u="none" baseline="0">
              <a:solidFill>
                <a:sysClr val="windowText" lastClr="000000"/>
              </a:solidFill>
            </a:rPr>
            <a:t>to calculate the SUM of 2015 and 2016 sales for the Boston office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320040</xdr:colOff>
      <xdr:row>0</xdr:row>
      <xdr:rowOff>121920</xdr:rowOff>
    </xdr:from>
    <xdr:to>
      <xdr:col>19</xdr:col>
      <xdr:colOff>502920</xdr:colOff>
      <xdr:row>16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9464040" y="121920"/>
          <a:ext cx="4450080" cy="29260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Write an </a:t>
          </a:r>
          <a:r>
            <a:rPr lang="en-US" sz="1100" b="1" u="none">
              <a:solidFill>
                <a:sysClr val="windowText" lastClr="000000"/>
              </a:solidFill>
            </a:rPr>
            <a:t>array function </a:t>
          </a:r>
          <a:r>
            <a:rPr lang="en-US" sz="1100" u="none">
              <a:solidFill>
                <a:sysClr val="windowText" lastClr="000000"/>
              </a:solidFill>
            </a:rPr>
            <a:t>in cell </a:t>
          </a:r>
          <a:r>
            <a:rPr lang="en-US" sz="1100" b="1" u="none">
              <a:solidFill>
                <a:sysClr val="windowText" lastClr="000000"/>
              </a:solidFill>
            </a:rPr>
            <a:t>I3</a:t>
          </a:r>
          <a:r>
            <a:rPr lang="en-US" sz="1100" u="none">
              <a:solidFill>
                <a:sysClr val="windowText" lastClr="000000"/>
              </a:solidFill>
            </a:rPr>
            <a:t> that</a:t>
          </a:r>
          <a:r>
            <a:rPr lang="en-US" sz="1100" u="none" baseline="0">
              <a:solidFill>
                <a:sysClr val="windowText" lastClr="000000"/>
              </a:solidFill>
            </a:rPr>
            <a:t> returns any date from column A where the row meets all three criteria in column G (Start Date, End Date, and Minimum Revenue)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 Adjust reference types to allow you to drag the formula through column L and down to row 14 (</a:t>
          </a:r>
          <a:r>
            <a:rPr lang="en-US" sz="1100" b="1" i="1" u="none" baseline="0">
              <a:solidFill>
                <a:sysClr val="windowText" lastClr="000000"/>
              </a:solidFill>
            </a:rPr>
            <a:t>Tip:</a:t>
          </a:r>
          <a:r>
            <a:rPr lang="en-US" sz="1100" i="1" u="none" baseline="0">
              <a:solidFill>
                <a:sysClr val="windowText" lastClr="000000"/>
              </a:solidFill>
            </a:rPr>
            <a:t> use the "fill without formatting" option</a:t>
          </a:r>
          <a:r>
            <a:rPr lang="en-US" sz="1100" u="none" baseline="0">
              <a:solidFill>
                <a:sysClr val="windowText" lastClr="000000"/>
              </a:solidFill>
            </a:rPr>
            <a:t>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3) Wrap the entire formula in an</a:t>
          </a:r>
          <a:r>
            <a:rPr lang="en-US" sz="1100" b="1" u="none" baseline="0">
              <a:solidFill>
                <a:sysClr val="windowText" lastClr="000000"/>
              </a:solidFill>
            </a:rPr>
            <a:t> IFERROR</a:t>
          </a:r>
          <a:r>
            <a:rPr lang="en-US" sz="1100" b="0" u="none" baseline="0">
              <a:solidFill>
                <a:sysClr val="windowText" lastClr="000000"/>
              </a:solidFill>
            </a:rPr>
            <a:t> statement to return blanks ("") for any rows that fail to meet all criteria</a:t>
          </a: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4) Test the function by adjusting criteria and confirming that the sub-array populates accordingly</a:t>
          </a:r>
        </a:p>
      </xdr:txBody>
    </xdr:sp>
    <xdr:clientData/>
  </xdr:twoCellAnchor>
  <xdr:twoCellAnchor>
    <xdr:from>
      <xdr:col>2</xdr:col>
      <xdr:colOff>49481</xdr:colOff>
      <xdr:row>25</xdr:row>
      <xdr:rowOff>98961</xdr:rowOff>
    </xdr:from>
    <xdr:to>
      <xdr:col>17</xdr:col>
      <xdr:colOff>98961</xdr:colOff>
      <xdr:row>29</xdr:row>
      <xdr:rowOff>61851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1620487" y="4737760"/>
          <a:ext cx="10415649" cy="7050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=IFERROR(INDEX(A$3:A$14,SMALL(IF(($C$3:$C$14&gt;=$G$4)*($A$3:$A$14&gt;=$G$2)*($A$3:$A$14&lt;=$G$3),ROW(A$3:A$14)-2),ROWS(A$3:A3))),"")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F28"/>
  <sheetViews>
    <sheetView workbookViewId="0">
      <selection activeCell="G2" sqref="G2"/>
    </sheetView>
  </sheetViews>
  <sheetFormatPr defaultRowHeight="15" x14ac:dyDescent="0.25"/>
  <cols>
    <col min="1" max="1" width="11.7109375" customWidth="1"/>
    <col min="2" max="2" width="15.28515625" style="2" customWidth="1"/>
    <col min="3" max="4" width="8.85546875" style="2"/>
    <col min="5" max="6" width="16" style="29" customWidth="1"/>
  </cols>
  <sheetData>
    <row r="1" spans="1:6" x14ac:dyDescent="0.25">
      <c r="A1" s="1" t="s">
        <v>137</v>
      </c>
      <c r="B1" s="1" t="s">
        <v>185</v>
      </c>
      <c r="C1" s="1" t="s">
        <v>184</v>
      </c>
      <c r="D1" s="1" t="s">
        <v>125</v>
      </c>
      <c r="E1" s="28" t="s">
        <v>186</v>
      </c>
      <c r="F1" s="28" t="s">
        <v>187</v>
      </c>
    </row>
    <row r="2" spans="1:6" x14ac:dyDescent="0.25">
      <c r="A2" s="20">
        <v>42370</v>
      </c>
      <c r="B2" s="2">
        <v>146</v>
      </c>
      <c r="C2" s="2">
        <v>77</v>
      </c>
      <c r="D2" s="2">
        <v>18</v>
      </c>
      <c r="E2" s="50">
        <f>C2/$B$2</f>
        <v>0.5273972602739726</v>
      </c>
      <c r="F2" s="50">
        <f>D2/$B$2</f>
        <v>0.12328767123287671</v>
      </c>
    </row>
    <row r="3" spans="1:6" x14ac:dyDescent="0.25">
      <c r="A3" s="20">
        <v>42370</v>
      </c>
      <c r="B3" s="2">
        <v>169</v>
      </c>
      <c r="C3" s="2">
        <v>72</v>
      </c>
      <c r="D3" s="2">
        <v>15</v>
      </c>
      <c r="E3" s="50">
        <f t="shared" ref="E3:E26" si="0">C3/$B$2</f>
        <v>0.49315068493150682</v>
      </c>
      <c r="F3" s="50">
        <f t="shared" ref="F3:F26" si="1">D3/$B$2</f>
        <v>0.10273972602739725</v>
      </c>
    </row>
    <row r="4" spans="1:6" x14ac:dyDescent="0.25">
      <c r="A4" s="20">
        <v>42370</v>
      </c>
      <c r="B4" s="2">
        <v>199</v>
      </c>
      <c r="C4" s="2">
        <v>71</v>
      </c>
      <c r="D4" s="2">
        <v>19</v>
      </c>
      <c r="E4" s="50">
        <f t="shared" si="0"/>
        <v>0.4863013698630137</v>
      </c>
      <c r="F4" s="50">
        <f t="shared" si="1"/>
        <v>0.13013698630136986</v>
      </c>
    </row>
    <row r="5" spans="1:6" x14ac:dyDescent="0.25">
      <c r="A5" s="20">
        <v>42371</v>
      </c>
      <c r="B5" s="2">
        <v>281</v>
      </c>
      <c r="C5" s="2">
        <v>66</v>
      </c>
      <c r="D5" s="2">
        <v>10</v>
      </c>
      <c r="E5" s="50">
        <f t="shared" si="0"/>
        <v>0.45205479452054792</v>
      </c>
      <c r="F5" s="50">
        <f t="shared" si="1"/>
        <v>6.8493150684931503E-2</v>
      </c>
    </row>
    <row r="6" spans="1:6" x14ac:dyDescent="0.25">
      <c r="A6" s="20">
        <v>42371</v>
      </c>
      <c r="B6" s="2">
        <v>266</v>
      </c>
      <c r="C6" s="2">
        <v>53</v>
      </c>
      <c r="D6" s="2">
        <v>19</v>
      </c>
      <c r="E6" s="50">
        <f t="shared" si="0"/>
        <v>0.36301369863013699</v>
      </c>
      <c r="F6" s="50">
        <f t="shared" si="1"/>
        <v>0.13013698630136986</v>
      </c>
    </row>
    <row r="7" spans="1:6" x14ac:dyDescent="0.25">
      <c r="A7" s="20">
        <v>42371</v>
      </c>
      <c r="B7" s="2">
        <v>277</v>
      </c>
      <c r="C7" s="2">
        <v>84</v>
      </c>
      <c r="D7" s="2">
        <v>15</v>
      </c>
      <c r="E7" s="50">
        <f t="shared" si="0"/>
        <v>0.57534246575342463</v>
      </c>
      <c r="F7" s="50">
        <f t="shared" si="1"/>
        <v>0.10273972602739725</v>
      </c>
    </row>
    <row r="8" spans="1:6" x14ac:dyDescent="0.25">
      <c r="A8" s="20">
        <v>42372</v>
      </c>
      <c r="B8" s="2">
        <v>145</v>
      </c>
      <c r="C8" s="2">
        <v>73</v>
      </c>
      <c r="D8" s="2">
        <v>15</v>
      </c>
      <c r="E8" s="50">
        <f t="shared" si="0"/>
        <v>0.5</v>
      </c>
      <c r="F8" s="50">
        <f t="shared" si="1"/>
        <v>0.10273972602739725</v>
      </c>
    </row>
    <row r="9" spans="1:6" x14ac:dyDescent="0.25">
      <c r="A9" s="20">
        <v>42372</v>
      </c>
      <c r="B9" s="2">
        <v>227</v>
      </c>
      <c r="C9" s="2">
        <v>69</v>
      </c>
      <c r="D9" s="2">
        <v>12</v>
      </c>
      <c r="E9" s="50">
        <f t="shared" si="0"/>
        <v>0.4726027397260274</v>
      </c>
      <c r="F9" s="50">
        <f t="shared" si="1"/>
        <v>8.2191780821917804E-2</v>
      </c>
    </row>
    <row r="10" spans="1:6" x14ac:dyDescent="0.25">
      <c r="A10" s="20">
        <v>42372</v>
      </c>
      <c r="B10" s="2">
        <v>180</v>
      </c>
      <c r="C10" s="2">
        <v>79</v>
      </c>
      <c r="D10" s="2">
        <v>16</v>
      </c>
      <c r="E10" s="50">
        <f t="shared" si="0"/>
        <v>0.54109589041095896</v>
      </c>
      <c r="F10" s="50">
        <f t="shared" si="1"/>
        <v>0.1095890410958904</v>
      </c>
    </row>
    <row r="11" spans="1:6" x14ac:dyDescent="0.25">
      <c r="A11" s="20">
        <v>42373</v>
      </c>
      <c r="B11" s="2">
        <v>0</v>
      </c>
      <c r="C11" s="2">
        <v>0</v>
      </c>
      <c r="D11" s="2">
        <v>0</v>
      </c>
      <c r="E11" s="50">
        <f t="shared" si="0"/>
        <v>0</v>
      </c>
      <c r="F11" s="50">
        <f t="shared" si="1"/>
        <v>0</v>
      </c>
    </row>
    <row r="12" spans="1:6" x14ac:dyDescent="0.25">
      <c r="A12" s="20">
        <v>42374</v>
      </c>
      <c r="B12" s="2">
        <v>242</v>
      </c>
      <c r="C12" s="2">
        <v>75</v>
      </c>
      <c r="D12" s="2">
        <v>10</v>
      </c>
      <c r="E12" s="50">
        <f t="shared" si="0"/>
        <v>0.51369863013698636</v>
      </c>
      <c r="F12" s="50">
        <f t="shared" si="1"/>
        <v>6.8493150684931503E-2</v>
      </c>
    </row>
    <row r="13" spans="1:6" x14ac:dyDescent="0.25">
      <c r="A13" s="20">
        <v>42374</v>
      </c>
      <c r="B13" s="2">
        <v>215</v>
      </c>
      <c r="C13" s="2">
        <v>75</v>
      </c>
      <c r="D13" s="2">
        <v>16</v>
      </c>
      <c r="E13" s="50">
        <f t="shared" si="0"/>
        <v>0.51369863013698636</v>
      </c>
      <c r="F13" s="50">
        <f t="shared" si="1"/>
        <v>0.1095890410958904</v>
      </c>
    </row>
    <row r="14" spans="1:6" x14ac:dyDescent="0.25">
      <c r="A14" s="20">
        <v>42374</v>
      </c>
      <c r="B14" s="2">
        <v>244</v>
      </c>
      <c r="C14" s="2">
        <v>82</v>
      </c>
      <c r="D14" s="2">
        <v>16</v>
      </c>
      <c r="E14" s="50">
        <f t="shared" si="0"/>
        <v>0.56164383561643838</v>
      </c>
      <c r="F14" s="50">
        <f t="shared" si="1"/>
        <v>0.1095890410958904</v>
      </c>
    </row>
    <row r="15" spans="1:6" x14ac:dyDescent="0.25">
      <c r="A15" s="20">
        <v>42374</v>
      </c>
      <c r="B15" s="2">
        <v>179</v>
      </c>
      <c r="C15" s="2">
        <v>71</v>
      </c>
      <c r="D15" s="2">
        <v>13</v>
      </c>
      <c r="E15" s="50">
        <f t="shared" si="0"/>
        <v>0.4863013698630137</v>
      </c>
      <c r="F15" s="50">
        <f t="shared" si="1"/>
        <v>8.9041095890410954E-2</v>
      </c>
    </row>
    <row r="16" spans="1:6" x14ac:dyDescent="0.25">
      <c r="A16" s="20">
        <v>42374</v>
      </c>
      <c r="B16" s="2">
        <v>276</v>
      </c>
      <c r="C16" s="2">
        <v>72</v>
      </c>
      <c r="D16" s="2">
        <v>14</v>
      </c>
      <c r="E16" s="50">
        <f t="shared" si="0"/>
        <v>0.49315068493150682</v>
      </c>
      <c r="F16" s="50">
        <f t="shared" si="1"/>
        <v>9.5890410958904104E-2</v>
      </c>
    </row>
    <row r="17" spans="1:6" x14ac:dyDescent="0.25">
      <c r="A17" s="20">
        <v>42375</v>
      </c>
      <c r="B17" s="2">
        <v>127</v>
      </c>
      <c r="C17" s="2">
        <v>78</v>
      </c>
      <c r="D17" s="2">
        <v>20</v>
      </c>
      <c r="E17" s="50">
        <f t="shared" si="0"/>
        <v>0.53424657534246578</v>
      </c>
      <c r="F17" s="50">
        <f t="shared" si="1"/>
        <v>0.13698630136986301</v>
      </c>
    </row>
    <row r="18" spans="1:6" x14ac:dyDescent="0.25">
      <c r="A18" s="20">
        <v>42375</v>
      </c>
      <c r="B18" s="2">
        <v>283</v>
      </c>
      <c r="C18" s="2">
        <v>78</v>
      </c>
      <c r="D18" s="2">
        <v>18</v>
      </c>
      <c r="E18" s="50">
        <f t="shared" si="0"/>
        <v>0.53424657534246578</v>
      </c>
      <c r="F18" s="50">
        <f t="shared" si="1"/>
        <v>0.12328767123287671</v>
      </c>
    </row>
    <row r="19" spans="1:6" x14ac:dyDescent="0.25">
      <c r="A19" s="20">
        <v>42375</v>
      </c>
      <c r="B19" s="2">
        <v>126</v>
      </c>
      <c r="C19" s="2">
        <v>76</v>
      </c>
      <c r="D19" s="2">
        <v>20</v>
      </c>
      <c r="E19" s="50">
        <f t="shared" si="0"/>
        <v>0.52054794520547942</v>
      </c>
      <c r="F19" s="50">
        <f t="shared" si="1"/>
        <v>0.13698630136986301</v>
      </c>
    </row>
    <row r="20" spans="1:6" x14ac:dyDescent="0.25">
      <c r="A20" s="20">
        <v>42376</v>
      </c>
      <c r="B20" s="2">
        <v>262</v>
      </c>
      <c r="C20" s="2">
        <v>81</v>
      </c>
      <c r="D20" s="2">
        <v>19</v>
      </c>
      <c r="E20" s="50">
        <f t="shared" si="0"/>
        <v>0.5547945205479452</v>
      </c>
      <c r="F20" s="50">
        <f t="shared" si="1"/>
        <v>0.13013698630136986</v>
      </c>
    </row>
    <row r="21" spans="1:6" x14ac:dyDescent="0.25">
      <c r="A21" s="20">
        <v>42376</v>
      </c>
      <c r="B21" s="2">
        <v>287</v>
      </c>
      <c r="C21" s="2">
        <v>81</v>
      </c>
      <c r="D21" s="2">
        <v>14</v>
      </c>
      <c r="E21" s="50">
        <f t="shared" si="0"/>
        <v>0.5547945205479452</v>
      </c>
      <c r="F21" s="50">
        <f t="shared" si="1"/>
        <v>9.5890410958904104E-2</v>
      </c>
    </row>
    <row r="22" spans="1:6" x14ac:dyDescent="0.25">
      <c r="A22" s="20">
        <v>42376</v>
      </c>
      <c r="B22" s="2">
        <v>269</v>
      </c>
      <c r="C22" s="2">
        <v>82</v>
      </c>
      <c r="D22" s="2">
        <v>14</v>
      </c>
      <c r="E22" s="50">
        <f t="shared" si="0"/>
        <v>0.56164383561643838</v>
      </c>
      <c r="F22" s="50">
        <f t="shared" si="1"/>
        <v>9.5890410958904104E-2</v>
      </c>
    </row>
    <row r="23" spans="1:6" x14ac:dyDescent="0.25">
      <c r="A23" s="20">
        <v>42377</v>
      </c>
      <c r="B23" s="2">
        <v>272</v>
      </c>
      <c r="C23" s="2">
        <v>54</v>
      </c>
      <c r="D23" s="2">
        <v>10</v>
      </c>
      <c r="E23" s="50">
        <f t="shared" si="0"/>
        <v>0.36986301369863012</v>
      </c>
      <c r="F23" s="50">
        <f t="shared" si="1"/>
        <v>6.8493150684931503E-2</v>
      </c>
    </row>
    <row r="24" spans="1:6" x14ac:dyDescent="0.25">
      <c r="A24" s="20">
        <v>42377</v>
      </c>
      <c r="B24" s="2">
        <v>204</v>
      </c>
      <c r="C24" s="2">
        <v>69</v>
      </c>
      <c r="D24" s="2">
        <v>11</v>
      </c>
      <c r="E24" s="50">
        <f t="shared" si="0"/>
        <v>0.4726027397260274</v>
      </c>
      <c r="F24" s="50">
        <f t="shared" si="1"/>
        <v>7.5342465753424653E-2</v>
      </c>
    </row>
    <row r="25" spans="1:6" x14ac:dyDescent="0.25">
      <c r="A25" s="20">
        <v>42377</v>
      </c>
      <c r="B25" s="2">
        <v>150</v>
      </c>
      <c r="C25" s="2">
        <v>72</v>
      </c>
      <c r="D25" s="2">
        <v>20</v>
      </c>
      <c r="E25" s="50">
        <f t="shared" si="0"/>
        <v>0.49315068493150682</v>
      </c>
      <c r="F25" s="50">
        <f t="shared" si="1"/>
        <v>0.13698630136986301</v>
      </c>
    </row>
    <row r="26" spans="1:6" x14ac:dyDescent="0.25">
      <c r="A26" s="20">
        <v>42377</v>
      </c>
      <c r="B26" s="2">
        <v>261</v>
      </c>
      <c r="C26" s="2">
        <v>90</v>
      </c>
      <c r="D26" s="2">
        <v>19</v>
      </c>
      <c r="E26" s="50">
        <f t="shared" si="0"/>
        <v>0.61643835616438358</v>
      </c>
      <c r="F26" s="50">
        <f t="shared" si="1"/>
        <v>0.13013698630136986</v>
      </c>
    </row>
    <row r="27" spans="1:6" x14ac:dyDescent="0.25">
      <c r="A27" s="27"/>
    </row>
    <row r="28" spans="1:6" x14ac:dyDescent="0.25">
      <c r="A28" s="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G16"/>
  <sheetViews>
    <sheetView workbookViewId="0">
      <selection activeCell="G4" sqref="G4"/>
    </sheetView>
  </sheetViews>
  <sheetFormatPr defaultRowHeight="15" x14ac:dyDescent="0.25"/>
  <cols>
    <col min="1" max="2" width="14.85546875" style="2" customWidth="1"/>
    <col min="3" max="3" width="13.28515625" style="2" customWidth="1"/>
    <col min="4" max="4" width="14" style="2" customWidth="1"/>
    <col min="5" max="5" width="12" style="2" customWidth="1"/>
    <col min="6" max="6" width="14.28515625" style="2" customWidth="1"/>
    <col min="7" max="7" width="16.42578125" style="2" customWidth="1"/>
  </cols>
  <sheetData>
    <row r="1" spans="1:7" x14ac:dyDescent="0.25">
      <c r="A1" s="1" t="s">
        <v>163</v>
      </c>
      <c r="B1" s="1" t="s">
        <v>55</v>
      </c>
      <c r="C1" s="1" t="s">
        <v>164</v>
      </c>
      <c r="D1" s="1" t="s">
        <v>165</v>
      </c>
      <c r="E1" s="1" t="s">
        <v>166</v>
      </c>
      <c r="F1" s="1" t="s">
        <v>168</v>
      </c>
      <c r="G1" s="1" t="s">
        <v>169</v>
      </c>
    </row>
    <row r="2" spans="1:7" x14ac:dyDescent="0.25">
      <c r="A2" s="2" t="s">
        <v>167</v>
      </c>
      <c r="B2" s="2" t="s">
        <v>70</v>
      </c>
      <c r="C2" s="2">
        <v>90</v>
      </c>
      <c r="D2" s="49" t="str">
        <f>IF(C2&gt;=60,"PASS","FAIL")</f>
        <v>PASS</v>
      </c>
      <c r="E2" s="49" t="str">
        <f>IF(C2&gt;=90,"A",IF(AND(C2&gt;80,C2&lt;=89),"B",IF(AND(C2&gt;70,C2&lt;=79),"C",IF(AND(C2&gt;=60,C2&lt;=69),"D","F"))))</f>
        <v>A</v>
      </c>
      <c r="F2" s="49" t="str">
        <f>IF(OR(C2&lt;60,C2&gt;90),"OUTLIER","AVG")</f>
        <v>AVG</v>
      </c>
      <c r="G2" s="49" t="str">
        <f>IF(AND(B2="F",C2&gt;95),"Female Achiever",IF(AND(B2="M",C2&gt;95),"Male Achiever","None"))</f>
        <v>None</v>
      </c>
    </row>
    <row r="3" spans="1:7" x14ac:dyDescent="0.25">
      <c r="A3" s="2" t="s">
        <v>170</v>
      </c>
      <c r="B3" s="2" t="s">
        <v>60</v>
      </c>
      <c r="C3" s="2">
        <v>80</v>
      </c>
      <c r="D3" s="49" t="str">
        <f t="shared" ref="D3:D16" si="0">IF(C3&gt;=60,"PASS","FAIL")</f>
        <v>PASS</v>
      </c>
      <c r="E3" s="49" t="str">
        <f t="shared" ref="E3:E16" si="1">IF(C3&gt;=90,"A",IF(AND(C3&gt;80,C3&lt;=89),"B",IF(AND(C3&gt;70,C3&lt;=79),"C",IF(AND(C3&gt;=60,C3&lt;=69),"D","F"))))</f>
        <v>F</v>
      </c>
      <c r="F3" s="49" t="str">
        <f t="shared" ref="F3:F16" si="2">IF(OR(C3&lt;60,C3&gt;90),"OUTLIER","AVG")</f>
        <v>AVG</v>
      </c>
      <c r="G3" s="49" t="str">
        <f>IF(AND(B3="F",C3&gt;95),"Female Achiever",IF(AND(B3="M",C3&gt;95),"Male Achiever","None"))</f>
        <v>None</v>
      </c>
    </row>
    <row r="4" spans="1:7" x14ac:dyDescent="0.25">
      <c r="A4" s="2" t="s">
        <v>171</v>
      </c>
      <c r="B4" s="2" t="s">
        <v>70</v>
      </c>
      <c r="C4" s="2">
        <v>96</v>
      </c>
      <c r="D4" s="49" t="str">
        <f t="shared" si="0"/>
        <v>PASS</v>
      </c>
      <c r="E4" s="49" t="str">
        <f t="shared" si="1"/>
        <v>A</v>
      </c>
      <c r="F4" s="49" t="str">
        <f t="shared" si="2"/>
        <v>OUTLIER</v>
      </c>
      <c r="G4" s="49" t="str">
        <f t="shared" ref="G3:G16" si="3">IF(AND(B4="F",C4&gt;95),"Female Achiever",IF(AND(B4="M",C4&gt;95),"Male Achiever","None"))</f>
        <v>Female Achiever</v>
      </c>
    </row>
    <row r="5" spans="1:7" x14ac:dyDescent="0.25">
      <c r="A5" s="2" t="s">
        <v>172</v>
      </c>
      <c r="B5" s="2" t="s">
        <v>60</v>
      </c>
      <c r="C5" s="2">
        <v>72</v>
      </c>
      <c r="D5" s="49" t="str">
        <f t="shared" si="0"/>
        <v>PASS</v>
      </c>
      <c r="E5" s="49" t="str">
        <f t="shared" si="1"/>
        <v>C</v>
      </c>
      <c r="F5" s="49" t="str">
        <f t="shared" si="2"/>
        <v>AVG</v>
      </c>
      <c r="G5" s="49" t="str">
        <f t="shared" si="3"/>
        <v>None</v>
      </c>
    </row>
    <row r="6" spans="1:7" x14ac:dyDescent="0.25">
      <c r="A6" s="2" t="s">
        <v>173</v>
      </c>
      <c r="B6" s="2" t="s">
        <v>60</v>
      </c>
      <c r="C6" s="2">
        <v>69</v>
      </c>
      <c r="D6" s="49" t="str">
        <f t="shared" si="0"/>
        <v>PASS</v>
      </c>
      <c r="E6" s="49" t="str">
        <f t="shared" si="1"/>
        <v>D</v>
      </c>
      <c r="F6" s="49" t="str">
        <f t="shared" si="2"/>
        <v>AVG</v>
      </c>
      <c r="G6" s="49" t="str">
        <f t="shared" si="3"/>
        <v>None</v>
      </c>
    </row>
    <row r="7" spans="1:7" x14ac:dyDescent="0.25">
      <c r="A7" s="2" t="s">
        <v>174</v>
      </c>
      <c r="B7" s="2" t="s">
        <v>70</v>
      </c>
      <c r="C7" s="2">
        <v>52</v>
      </c>
      <c r="D7" s="49" t="str">
        <f t="shared" si="0"/>
        <v>FAIL</v>
      </c>
      <c r="E7" s="49" t="str">
        <f t="shared" si="1"/>
        <v>F</v>
      </c>
      <c r="F7" s="49" t="str">
        <f t="shared" si="2"/>
        <v>OUTLIER</v>
      </c>
      <c r="G7" s="49" t="str">
        <f t="shared" si="3"/>
        <v>None</v>
      </c>
    </row>
    <row r="8" spans="1:7" x14ac:dyDescent="0.25">
      <c r="A8" s="2" t="s">
        <v>175</v>
      </c>
      <c r="B8" s="2" t="s">
        <v>60</v>
      </c>
      <c r="C8" s="2">
        <v>99</v>
      </c>
      <c r="D8" s="49" t="str">
        <f t="shared" si="0"/>
        <v>PASS</v>
      </c>
      <c r="E8" s="49" t="str">
        <f t="shared" si="1"/>
        <v>A</v>
      </c>
      <c r="F8" s="49" t="str">
        <f t="shared" si="2"/>
        <v>OUTLIER</v>
      </c>
      <c r="G8" s="49" t="str">
        <f t="shared" si="3"/>
        <v>Male Achiever</v>
      </c>
    </row>
    <row r="9" spans="1:7" x14ac:dyDescent="0.25">
      <c r="A9" s="2" t="s">
        <v>176</v>
      </c>
      <c r="B9" s="2" t="s">
        <v>70</v>
      </c>
      <c r="C9" s="2">
        <v>82</v>
      </c>
      <c r="D9" s="49" t="str">
        <f t="shared" si="0"/>
        <v>PASS</v>
      </c>
      <c r="E9" s="49" t="str">
        <f t="shared" si="1"/>
        <v>B</v>
      </c>
      <c r="F9" s="49" t="str">
        <f t="shared" si="2"/>
        <v>AVG</v>
      </c>
      <c r="G9" s="49" t="str">
        <f t="shared" si="3"/>
        <v>None</v>
      </c>
    </row>
    <row r="10" spans="1:7" x14ac:dyDescent="0.25">
      <c r="A10" s="2" t="s">
        <v>177</v>
      </c>
      <c r="B10" s="2" t="s">
        <v>70</v>
      </c>
      <c r="C10" s="2">
        <v>67</v>
      </c>
      <c r="D10" s="49" t="str">
        <f t="shared" si="0"/>
        <v>PASS</v>
      </c>
      <c r="E10" s="49" t="str">
        <f t="shared" si="1"/>
        <v>D</v>
      </c>
      <c r="F10" s="49" t="str">
        <f t="shared" si="2"/>
        <v>AVG</v>
      </c>
      <c r="G10" s="49" t="str">
        <f t="shared" si="3"/>
        <v>None</v>
      </c>
    </row>
    <row r="11" spans="1:7" x14ac:dyDescent="0.25">
      <c r="A11" s="2" t="s">
        <v>178</v>
      </c>
      <c r="B11" s="2" t="s">
        <v>60</v>
      </c>
      <c r="C11" s="2">
        <v>90</v>
      </c>
      <c r="D11" s="49" t="str">
        <f t="shared" si="0"/>
        <v>PASS</v>
      </c>
      <c r="E11" s="49" t="str">
        <f t="shared" si="1"/>
        <v>A</v>
      </c>
      <c r="F11" s="49" t="str">
        <f t="shared" si="2"/>
        <v>AVG</v>
      </c>
      <c r="G11" s="49" t="str">
        <f t="shared" si="3"/>
        <v>None</v>
      </c>
    </row>
    <row r="12" spans="1:7" x14ac:dyDescent="0.25">
      <c r="A12" s="2" t="s">
        <v>179</v>
      </c>
      <c r="B12" s="2" t="s">
        <v>60</v>
      </c>
      <c r="C12" s="2">
        <v>83</v>
      </c>
      <c r="D12" s="49" t="str">
        <f t="shared" si="0"/>
        <v>PASS</v>
      </c>
      <c r="E12" s="49" t="str">
        <f t="shared" si="1"/>
        <v>B</v>
      </c>
      <c r="F12" s="49" t="str">
        <f t="shared" si="2"/>
        <v>AVG</v>
      </c>
      <c r="G12" s="49" t="str">
        <f t="shared" si="3"/>
        <v>None</v>
      </c>
    </row>
    <row r="13" spans="1:7" x14ac:dyDescent="0.25">
      <c r="A13" s="2" t="s">
        <v>180</v>
      </c>
      <c r="B13" s="2" t="s">
        <v>70</v>
      </c>
      <c r="C13" s="2">
        <v>89</v>
      </c>
      <c r="D13" s="49" t="str">
        <f t="shared" si="0"/>
        <v>PASS</v>
      </c>
      <c r="E13" s="49" t="str">
        <f t="shared" si="1"/>
        <v>B</v>
      </c>
      <c r="F13" s="49" t="str">
        <f t="shared" si="2"/>
        <v>AVG</v>
      </c>
      <c r="G13" s="49" t="str">
        <f t="shared" si="3"/>
        <v>None</v>
      </c>
    </row>
    <row r="14" spans="1:7" x14ac:dyDescent="0.25">
      <c r="A14" s="2" t="s">
        <v>181</v>
      </c>
      <c r="B14" s="2" t="s">
        <v>70</v>
      </c>
      <c r="C14" s="2">
        <v>60</v>
      </c>
      <c r="D14" s="49" t="str">
        <f t="shared" si="0"/>
        <v>PASS</v>
      </c>
      <c r="E14" s="49" t="str">
        <f t="shared" si="1"/>
        <v>D</v>
      </c>
      <c r="F14" s="49" t="str">
        <f t="shared" si="2"/>
        <v>AVG</v>
      </c>
      <c r="G14" s="49" t="str">
        <f t="shared" si="3"/>
        <v>None</v>
      </c>
    </row>
    <row r="15" spans="1:7" x14ac:dyDescent="0.25">
      <c r="A15" s="2" t="s">
        <v>182</v>
      </c>
      <c r="B15" s="2" t="s">
        <v>70</v>
      </c>
      <c r="C15" s="2">
        <v>63</v>
      </c>
      <c r="D15" s="49" t="str">
        <f t="shared" si="0"/>
        <v>PASS</v>
      </c>
      <c r="E15" s="49" t="str">
        <f t="shared" si="1"/>
        <v>D</v>
      </c>
      <c r="F15" s="49" t="str">
        <f t="shared" si="2"/>
        <v>AVG</v>
      </c>
      <c r="G15" s="49" t="str">
        <f t="shared" si="3"/>
        <v>None</v>
      </c>
    </row>
    <row r="16" spans="1:7" x14ac:dyDescent="0.25">
      <c r="A16" s="2" t="s">
        <v>183</v>
      </c>
      <c r="B16" s="2" t="s">
        <v>60</v>
      </c>
      <c r="C16" s="2">
        <v>59</v>
      </c>
      <c r="D16" s="49" t="str">
        <f t="shared" si="0"/>
        <v>FAIL</v>
      </c>
      <c r="E16" s="49" t="str">
        <f t="shared" si="1"/>
        <v>F</v>
      </c>
      <c r="F16" s="49" t="str">
        <f t="shared" si="2"/>
        <v>OUTLIER</v>
      </c>
      <c r="G16" s="49" t="str">
        <f t="shared" si="3"/>
        <v>None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M70"/>
  <sheetViews>
    <sheetView workbookViewId="0">
      <selection activeCell="H8" sqref="H8"/>
    </sheetView>
  </sheetViews>
  <sheetFormatPr defaultColWidth="8.7109375" defaultRowHeight="15" x14ac:dyDescent="0.25"/>
  <cols>
    <col min="1" max="1" width="23.140625" style="2" customWidth="1"/>
    <col min="2" max="2" width="18.7109375" style="2" customWidth="1"/>
    <col min="3" max="3" width="18.28515625" style="2" customWidth="1"/>
    <col min="4" max="4" width="13.42578125" style="2" customWidth="1"/>
    <col min="5" max="5" width="12.42578125" style="8" customWidth="1"/>
    <col min="6" max="6" width="10.42578125" customWidth="1"/>
    <col min="7" max="7" width="11" customWidth="1"/>
    <col min="8" max="8" width="23.42578125" customWidth="1"/>
    <col min="9" max="9" width="20.425781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4" t="s">
        <v>123</v>
      </c>
      <c r="B1" s="4" t="s">
        <v>252</v>
      </c>
      <c r="C1" s="4" t="s">
        <v>124</v>
      </c>
      <c r="D1" s="5" t="s">
        <v>125</v>
      </c>
      <c r="E1" s="7" t="s">
        <v>126</v>
      </c>
      <c r="M1" s="2" t="s">
        <v>127</v>
      </c>
    </row>
    <row r="2" spans="1:13" ht="15.75" thickBot="1" x14ac:dyDescent="0.3">
      <c r="A2" s="2" t="s">
        <v>127</v>
      </c>
      <c r="B2" s="2">
        <v>402850</v>
      </c>
      <c r="C2" s="2" t="s">
        <v>87</v>
      </c>
      <c r="D2" s="2">
        <v>17</v>
      </c>
      <c r="E2" s="8">
        <v>2499</v>
      </c>
      <c r="G2" s="9" t="s">
        <v>128</v>
      </c>
      <c r="H2" s="10" t="s">
        <v>127</v>
      </c>
      <c r="M2" s="2" t="s">
        <v>129</v>
      </c>
    </row>
    <row r="3" spans="1:13" x14ac:dyDescent="0.25">
      <c r="A3" s="2" t="s">
        <v>127</v>
      </c>
      <c r="B3" s="2">
        <v>436987</v>
      </c>
      <c r="C3" s="2" t="s">
        <v>87</v>
      </c>
      <c r="D3" s="2">
        <v>98</v>
      </c>
      <c r="E3" s="8">
        <v>784</v>
      </c>
      <c r="G3" s="11"/>
      <c r="H3" s="3"/>
      <c r="M3" s="2" t="s">
        <v>130</v>
      </c>
    </row>
    <row r="4" spans="1:13" ht="15.75" thickBot="1" x14ac:dyDescent="0.3">
      <c r="A4" s="2" t="s">
        <v>127</v>
      </c>
      <c r="B4" s="2">
        <v>764613</v>
      </c>
      <c r="C4" s="2" t="s">
        <v>87</v>
      </c>
      <c r="D4" s="2">
        <v>51</v>
      </c>
      <c r="E4" s="8">
        <v>6732</v>
      </c>
      <c r="H4" s="12" t="s">
        <v>131</v>
      </c>
      <c r="M4" s="2" t="s">
        <v>132</v>
      </c>
    </row>
    <row r="5" spans="1:13" ht="15.75" thickBot="1" x14ac:dyDescent="0.3">
      <c r="A5" s="2" t="s">
        <v>127</v>
      </c>
      <c r="B5" s="2">
        <v>243484</v>
      </c>
      <c r="C5" s="2" t="s">
        <v>78</v>
      </c>
      <c r="D5" s="2">
        <v>32</v>
      </c>
      <c r="E5" s="8">
        <v>3072</v>
      </c>
      <c r="H5" s="41">
        <f>SUMIF(A:A,$H$2,D:D)</f>
        <v>620</v>
      </c>
    </row>
    <row r="6" spans="1:13" x14ac:dyDescent="0.25">
      <c r="A6" s="2" t="s">
        <v>127</v>
      </c>
      <c r="B6" s="2">
        <v>522010</v>
      </c>
      <c r="C6" s="2" t="s">
        <v>78</v>
      </c>
      <c r="D6" s="2">
        <v>171</v>
      </c>
      <c r="E6" s="8">
        <v>25650</v>
      </c>
    </row>
    <row r="7" spans="1:13" ht="15.75" thickBot="1" x14ac:dyDescent="0.3">
      <c r="A7" s="2" t="s">
        <v>127</v>
      </c>
      <c r="B7" s="2">
        <v>346155</v>
      </c>
      <c r="C7" s="2" t="s">
        <v>78</v>
      </c>
      <c r="D7" s="2">
        <v>51</v>
      </c>
      <c r="E7" s="8">
        <v>3876</v>
      </c>
      <c r="H7" s="12" t="s">
        <v>131</v>
      </c>
      <c r="I7" s="12" t="s">
        <v>133</v>
      </c>
      <c r="J7" s="12" t="s">
        <v>253</v>
      </c>
    </row>
    <row r="8" spans="1:13" ht="15.75" thickBot="1" x14ac:dyDescent="0.3">
      <c r="A8" s="2" t="s">
        <v>127</v>
      </c>
      <c r="B8" s="2">
        <v>181763</v>
      </c>
      <c r="C8" s="2" t="s">
        <v>78</v>
      </c>
      <c r="D8" s="2">
        <v>118</v>
      </c>
      <c r="E8" s="8">
        <v>10030</v>
      </c>
      <c r="G8" s="2" t="s">
        <v>87</v>
      </c>
      <c r="H8" s="41">
        <f>SUMIFS($D:$D,A:A,$H$2,$C:$C,G8)</f>
        <v>166</v>
      </c>
      <c r="I8" s="52">
        <f>SUMIFS($E:$E,$A:$A,$H$2,$C:$C,G8)</f>
        <v>10015</v>
      </c>
      <c r="J8" s="41">
        <f>COUNTIFS($A:$A,$H$2,$C:$C,G8)</f>
        <v>3</v>
      </c>
    </row>
    <row r="9" spans="1:13" ht="15.75" thickBot="1" x14ac:dyDescent="0.3">
      <c r="A9" s="2" t="s">
        <v>127</v>
      </c>
      <c r="B9" s="2">
        <v>410456</v>
      </c>
      <c r="C9" s="2" t="s">
        <v>36</v>
      </c>
      <c r="D9" s="2">
        <v>52</v>
      </c>
      <c r="E9" s="8">
        <v>2340</v>
      </c>
      <c r="G9" s="2" t="s">
        <v>78</v>
      </c>
      <c r="H9" s="41">
        <f t="shared" ref="H9:H10" si="0">SUMIFS($D:$D,A:A,$H$2,$C:$C,G9)</f>
        <v>372</v>
      </c>
      <c r="I9" s="52">
        <f t="shared" ref="I9:I10" si="1">SUMIFS($E:$E,$A:$A,$H$2,$C:$C,G9)</f>
        <v>42628</v>
      </c>
      <c r="J9" s="41">
        <f t="shared" ref="J9:J10" si="2">COUNTIFS($A:$A,$H$2,$C:$C,G9)</f>
        <v>4</v>
      </c>
    </row>
    <row r="10" spans="1:13" ht="15.75" thickBot="1" x14ac:dyDescent="0.3">
      <c r="A10" s="2" t="s">
        <v>127</v>
      </c>
      <c r="B10" s="2">
        <v>454175</v>
      </c>
      <c r="C10" s="2" t="s">
        <v>36</v>
      </c>
      <c r="D10" s="2">
        <v>30</v>
      </c>
      <c r="E10" s="8">
        <v>3960</v>
      </c>
      <c r="G10" s="2" t="s">
        <v>36</v>
      </c>
      <c r="H10" s="41">
        <f t="shared" si="0"/>
        <v>82</v>
      </c>
      <c r="I10" s="52">
        <f t="shared" si="1"/>
        <v>6300</v>
      </c>
      <c r="J10" s="41">
        <f t="shared" si="2"/>
        <v>2</v>
      </c>
    </row>
    <row r="11" spans="1:13" x14ac:dyDescent="0.25">
      <c r="A11" s="2" t="s">
        <v>129</v>
      </c>
      <c r="B11" s="2">
        <v>426853</v>
      </c>
      <c r="C11" s="2" t="s">
        <v>87</v>
      </c>
      <c r="D11" s="2">
        <v>114</v>
      </c>
      <c r="E11" s="8">
        <v>4446</v>
      </c>
    </row>
    <row r="12" spans="1:13" x14ac:dyDescent="0.25">
      <c r="A12" s="2" t="s">
        <v>129</v>
      </c>
      <c r="B12" s="2">
        <v>815098</v>
      </c>
      <c r="C12" s="2" t="s">
        <v>87</v>
      </c>
      <c r="D12" s="2">
        <v>49</v>
      </c>
      <c r="E12" s="8">
        <v>5537</v>
      </c>
    </row>
    <row r="13" spans="1:13" x14ac:dyDescent="0.25">
      <c r="A13" s="2" t="s">
        <v>129</v>
      </c>
      <c r="B13" s="2">
        <v>209537</v>
      </c>
      <c r="C13" s="2" t="s">
        <v>87</v>
      </c>
      <c r="D13" s="2">
        <v>155</v>
      </c>
      <c r="E13" s="8">
        <v>21390</v>
      </c>
    </row>
    <row r="14" spans="1:13" x14ac:dyDescent="0.25">
      <c r="A14" s="2" t="s">
        <v>129</v>
      </c>
      <c r="B14" s="2">
        <v>765870</v>
      </c>
      <c r="C14" s="2" t="s">
        <v>87</v>
      </c>
      <c r="D14" s="2">
        <v>101</v>
      </c>
      <c r="E14" s="8">
        <v>3535</v>
      </c>
    </row>
    <row r="15" spans="1:13" x14ac:dyDescent="0.25">
      <c r="A15" s="2" t="s">
        <v>129</v>
      </c>
      <c r="B15" s="2">
        <v>747542</v>
      </c>
      <c r="C15" s="2" t="s">
        <v>78</v>
      </c>
      <c r="D15" s="2">
        <v>149</v>
      </c>
      <c r="E15" s="8">
        <v>11324</v>
      </c>
    </row>
    <row r="16" spans="1:13" x14ac:dyDescent="0.25">
      <c r="A16" s="2" t="s">
        <v>129</v>
      </c>
      <c r="B16" s="2">
        <v>177975</v>
      </c>
      <c r="C16" s="2" t="s">
        <v>78</v>
      </c>
      <c r="D16" s="2">
        <v>119</v>
      </c>
      <c r="E16" s="8">
        <v>17850</v>
      </c>
    </row>
    <row r="17" spans="1:5" x14ac:dyDescent="0.25">
      <c r="A17" s="2" t="s">
        <v>129</v>
      </c>
      <c r="B17" s="2">
        <v>840614</v>
      </c>
      <c r="C17" s="2" t="s">
        <v>36</v>
      </c>
      <c r="D17" s="2">
        <v>97</v>
      </c>
      <c r="E17" s="8">
        <v>3298</v>
      </c>
    </row>
    <row r="18" spans="1:5" x14ac:dyDescent="0.25">
      <c r="A18" s="2" t="s">
        <v>129</v>
      </c>
      <c r="B18" s="2">
        <v>271572</v>
      </c>
      <c r="C18" s="2" t="s">
        <v>36</v>
      </c>
      <c r="D18" s="2">
        <v>127</v>
      </c>
      <c r="E18" s="8">
        <v>17907</v>
      </c>
    </row>
    <row r="19" spans="1:5" x14ac:dyDescent="0.25">
      <c r="A19" s="2" t="s">
        <v>129</v>
      </c>
      <c r="B19" s="2">
        <v>367240</v>
      </c>
      <c r="C19" s="2" t="s">
        <v>36</v>
      </c>
      <c r="D19" s="2">
        <v>104</v>
      </c>
      <c r="E19" s="8">
        <v>12584</v>
      </c>
    </row>
    <row r="20" spans="1:5" x14ac:dyDescent="0.25">
      <c r="A20" s="2" t="s">
        <v>129</v>
      </c>
      <c r="B20" s="2">
        <v>791819</v>
      </c>
      <c r="C20" s="2" t="s">
        <v>36</v>
      </c>
      <c r="D20" s="2">
        <v>91</v>
      </c>
      <c r="E20" s="8">
        <v>9282</v>
      </c>
    </row>
    <row r="21" spans="1:5" x14ac:dyDescent="0.25">
      <c r="A21" s="2" t="s">
        <v>130</v>
      </c>
      <c r="B21" s="2">
        <v>185858</v>
      </c>
      <c r="C21" s="2" t="s">
        <v>87</v>
      </c>
      <c r="D21" s="2">
        <v>51</v>
      </c>
      <c r="E21" s="8">
        <v>765</v>
      </c>
    </row>
    <row r="22" spans="1:5" x14ac:dyDescent="0.25">
      <c r="A22" s="2" t="s">
        <v>130</v>
      </c>
      <c r="B22" s="2">
        <v>501837</v>
      </c>
      <c r="C22" s="2" t="s">
        <v>87</v>
      </c>
      <c r="D22" s="2">
        <v>142</v>
      </c>
      <c r="E22" s="8">
        <v>14484</v>
      </c>
    </row>
    <row r="23" spans="1:5" x14ac:dyDescent="0.25">
      <c r="A23" s="2" t="s">
        <v>130</v>
      </c>
      <c r="B23" s="2">
        <v>486900</v>
      </c>
      <c r="C23" s="2" t="s">
        <v>87</v>
      </c>
      <c r="D23" s="2">
        <v>161</v>
      </c>
      <c r="E23" s="8">
        <v>11592</v>
      </c>
    </row>
    <row r="24" spans="1:5" x14ac:dyDescent="0.25">
      <c r="A24" s="2" t="s">
        <v>130</v>
      </c>
      <c r="B24" s="2">
        <v>207266</v>
      </c>
      <c r="C24" s="2" t="s">
        <v>87</v>
      </c>
      <c r="D24" s="2">
        <v>100</v>
      </c>
      <c r="E24" s="8">
        <v>1100</v>
      </c>
    </row>
    <row r="25" spans="1:5" x14ac:dyDescent="0.25">
      <c r="A25" s="2" t="s">
        <v>130</v>
      </c>
      <c r="B25" s="2">
        <v>328524</v>
      </c>
      <c r="C25" s="2" t="s">
        <v>87</v>
      </c>
      <c r="D25" s="2">
        <v>187</v>
      </c>
      <c r="E25" s="8">
        <v>16269</v>
      </c>
    </row>
    <row r="26" spans="1:5" x14ac:dyDescent="0.25">
      <c r="A26" s="2" t="s">
        <v>130</v>
      </c>
      <c r="B26" s="2">
        <v>430342</v>
      </c>
      <c r="C26" s="2" t="s">
        <v>78</v>
      </c>
      <c r="D26" s="2">
        <v>147</v>
      </c>
      <c r="E26" s="8">
        <v>13524</v>
      </c>
    </row>
    <row r="27" spans="1:5" x14ac:dyDescent="0.25">
      <c r="A27" s="2" t="s">
        <v>130</v>
      </c>
      <c r="B27" s="2">
        <v>602517</v>
      </c>
      <c r="C27" s="2" t="s">
        <v>78</v>
      </c>
      <c r="D27" s="2">
        <v>107</v>
      </c>
      <c r="E27" s="8">
        <v>3317</v>
      </c>
    </row>
    <row r="28" spans="1:5" x14ac:dyDescent="0.25">
      <c r="A28" s="2" t="s">
        <v>130</v>
      </c>
      <c r="B28" s="2">
        <v>183106</v>
      </c>
      <c r="C28" s="2" t="s">
        <v>78</v>
      </c>
      <c r="D28" s="2">
        <v>170</v>
      </c>
      <c r="E28" s="8">
        <v>22780</v>
      </c>
    </row>
    <row r="29" spans="1:5" x14ac:dyDescent="0.25">
      <c r="A29" s="2" t="s">
        <v>130</v>
      </c>
      <c r="B29" s="2">
        <v>843050</v>
      </c>
      <c r="C29" s="2" t="s">
        <v>78</v>
      </c>
      <c r="D29" s="2">
        <v>192</v>
      </c>
      <c r="E29" s="8">
        <v>20160</v>
      </c>
    </row>
    <row r="30" spans="1:5" x14ac:dyDescent="0.25">
      <c r="A30" s="2" t="s">
        <v>130</v>
      </c>
      <c r="B30" s="2">
        <v>129851</v>
      </c>
      <c r="C30" s="2" t="s">
        <v>78</v>
      </c>
      <c r="D30" s="2">
        <v>134</v>
      </c>
      <c r="E30" s="8">
        <v>14070</v>
      </c>
    </row>
    <row r="31" spans="1:5" x14ac:dyDescent="0.25">
      <c r="A31" s="2" t="s">
        <v>130</v>
      </c>
      <c r="B31" s="2">
        <v>829456</v>
      </c>
      <c r="C31" s="2" t="s">
        <v>78</v>
      </c>
      <c r="D31" s="2">
        <v>98</v>
      </c>
      <c r="E31" s="8">
        <v>490</v>
      </c>
    </row>
    <row r="32" spans="1:5" x14ac:dyDescent="0.25">
      <c r="A32" s="2" t="s">
        <v>130</v>
      </c>
      <c r="B32" s="2">
        <v>832520</v>
      </c>
      <c r="C32" s="2" t="s">
        <v>78</v>
      </c>
      <c r="D32" s="2">
        <v>138</v>
      </c>
      <c r="E32" s="8">
        <v>14076</v>
      </c>
    </row>
    <row r="33" spans="1:5" x14ac:dyDescent="0.25">
      <c r="A33" s="2" t="s">
        <v>130</v>
      </c>
      <c r="B33" s="2">
        <v>142498</v>
      </c>
      <c r="C33" s="2" t="s">
        <v>36</v>
      </c>
      <c r="D33" s="2">
        <v>111</v>
      </c>
      <c r="E33" s="8">
        <v>7548</v>
      </c>
    </row>
    <row r="34" spans="1:5" x14ac:dyDescent="0.25">
      <c r="A34" s="2" t="s">
        <v>130</v>
      </c>
      <c r="B34" s="2">
        <v>690368</v>
      </c>
      <c r="C34" s="2" t="s">
        <v>36</v>
      </c>
      <c r="D34" s="2">
        <v>118</v>
      </c>
      <c r="E34" s="8">
        <v>590</v>
      </c>
    </row>
    <row r="35" spans="1:5" x14ac:dyDescent="0.25">
      <c r="A35" s="2" t="s">
        <v>130</v>
      </c>
      <c r="B35" s="2">
        <v>267419</v>
      </c>
      <c r="C35" s="2" t="s">
        <v>36</v>
      </c>
      <c r="D35" s="2">
        <v>127</v>
      </c>
      <c r="E35" s="8">
        <v>5969</v>
      </c>
    </row>
    <row r="36" spans="1:5" x14ac:dyDescent="0.25">
      <c r="A36" s="2" t="s">
        <v>130</v>
      </c>
      <c r="B36" s="2">
        <v>140721</v>
      </c>
      <c r="C36" s="2" t="s">
        <v>36</v>
      </c>
      <c r="D36" s="2">
        <v>69</v>
      </c>
      <c r="E36" s="8">
        <v>9384</v>
      </c>
    </row>
    <row r="37" spans="1:5" x14ac:dyDescent="0.25">
      <c r="A37" s="2" t="s">
        <v>130</v>
      </c>
      <c r="B37" s="2">
        <v>454504</v>
      </c>
      <c r="C37" s="2" t="s">
        <v>36</v>
      </c>
      <c r="D37" s="2">
        <v>44</v>
      </c>
      <c r="E37" s="8">
        <v>2464</v>
      </c>
    </row>
    <row r="38" spans="1:5" x14ac:dyDescent="0.25">
      <c r="A38" s="2" t="s">
        <v>130</v>
      </c>
      <c r="B38" s="2">
        <v>343862</v>
      </c>
      <c r="C38" s="2" t="s">
        <v>36</v>
      </c>
      <c r="D38" s="2">
        <v>38</v>
      </c>
      <c r="E38" s="8">
        <v>190</v>
      </c>
    </row>
    <row r="39" spans="1:5" x14ac:dyDescent="0.25">
      <c r="A39" s="2" t="s">
        <v>132</v>
      </c>
      <c r="B39" s="2">
        <v>491299</v>
      </c>
      <c r="C39" s="2" t="s">
        <v>87</v>
      </c>
      <c r="D39" s="2">
        <v>35</v>
      </c>
      <c r="E39" s="8">
        <v>4865</v>
      </c>
    </row>
    <row r="40" spans="1:5" x14ac:dyDescent="0.25">
      <c r="A40" s="2" t="s">
        <v>132</v>
      </c>
      <c r="B40" s="2">
        <v>547421</v>
      </c>
      <c r="C40" s="2" t="s">
        <v>87</v>
      </c>
      <c r="D40" s="2">
        <v>71</v>
      </c>
      <c r="E40" s="8">
        <v>3266</v>
      </c>
    </row>
    <row r="41" spans="1:5" x14ac:dyDescent="0.25">
      <c r="A41" s="2" t="s">
        <v>132</v>
      </c>
      <c r="B41" s="2">
        <v>594052</v>
      </c>
      <c r="C41" s="2" t="s">
        <v>87</v>
      </c>
      <c r="D41" s="2">
        <v>180</v>
      </c>
      <c r="E41" s="8">
        <v>22860</v>
      </c>
    </row>
    <row r="42" spans="1:5" x14ac:dyDescent="0.25">
      <c r="A42" s="2" t="s">
        <v>132</v>
      </c>
      <c r="B42" s="2">
        <v>720964</v>
      </c>
      <c r="C42" s="2" t="s">
        <v>87</v>
      </c>
      <c r="D42" s="2">
        <v>189</v>
      </c>
      <c r="E42" s="8">
        <v>25137</v>
      </c>
    </row>
    <row r="43" spans="1:5" x14ac:dyDescent="0.25">
      <c r="A43" s="2" t="s">
        <v>132</v>
      </c>
      <c r="B43" s="2">
        <v>104556</v>
      </c>
      <c r="C43" s="2" t="s">
        <v>87</v>
      </c>
      <c r="D43" s="2">
        <v>92</v>
      </c>
      <c r="E43" s="8">
        <v>9752</v>
      </c>
    </row>
    <row r="44" spans="1:5" x14ac:dyDescent="0.25">
      <c r="A44" s="2" t="s">
        <v>132</v>
      </c>
      <c r="B44" s="2">
        <v>202419</v>
      </c>
      <c r="C44" s="2" t="s">
        <v>87</v>
      </c>
      <c r="D44" s="2">
        <v>152</v>
      </c>
      <c r="E44" s="8">
        <v>14136</v>
      </c>
    </row>
    <row r="45" spans="1:5" x14ac:dyDescent="0.25">
      <c r="A45" s="2" t="s">
        <v>132</v>
      </c>
      <c r="B45" s="2">
        <v>281646</v>
      </c>
      <c r="C45" s="2" t="s">
        <v>87</v>
      </c>
      <c r="D45" s="2">
        <v>102</v>
      </c>
      <c r="E45" s="8">
        <v>10098</v>
      </c>
    </row>
    <row r="46" spans="1:5" x14ac:dyDescent="0.25">
      <c r="A46" s="2" t="s">
        <v>132</v>
      </c>
      <c r="B46" s="2">
        <v>153152</v>
      </c>
      <c r="C46" s="2" t="s">
        <v>87</v>
      </c>
      <c r="D46" s="2">
        <v>199</v>
      </c>
      <c r="E46" s="8">
        <v>3383</v>
      </c>
    </row>
    <row r="47" spans="1:5" x14ac:dyDescent="0.25">
      <c r="A47" s="2" t="s">
        <v>132</v>
      </c>
      <c r="B47" s="2">
        <v>273563</v>
      </c>
      <c r="C47" s="2" t="s">
        <v>87</v>
      </c>
      <c r="D47" s="2">
        <v>60</v>
      </c>
      <c r="E47" s="8">
        <v>2640</v>
      </c>
    </row>
    <row r="48" spans="1:5" x14ac:dyDescent="0.25">
      <c r="A48" s="2" t="s">
        <v>132</v>
      </c>
      <c r="B48" s="2">
        <v>679548</v>
      </c>
      <c r="C48" s="2" t="s">
        <v>78</v>
      </c>
      <c r="D48" s="2">
        <v>72</v>
      </c>
      <c r="E48" s="8">
        <v>10152</v>
      </c>
    </row>
    <row r="49" spans="1:5" x14ac:dyDescent="0.25">
      <c r="A49" s="2" t="s">
        <v>132</v>
      </c>
      <c r="B49" s="2">
        <v>509361</v>
      </c>
      <c r="C49" s="2" t="s">
        <v>78</v>
      </c>
      <c r="D49" s="2">
        <v>136</v>
      </c>
      <c r="E49" s="8">
        <v>3264</v>
      </c>
    </row>
    <row r="50" spans="1:5" x14ac:dyDescent="0.25">
      <c r="A50" s="2" t="s">
        <v>132</v>
      </c>
      <c r="B50" s="2">
        <v>431791</v>
      </c>
      <c r="C50" s="2" t="s">
        <v>78</v>
      </c>
      <c r="D50" s="2">
        <v>114</v>
      </c>
      <c r="E50" s="8">
        <v>16302</v>
      </c>
    </row>
    <row r="51" spans="1:5" x14ac:dyDescent="0.25">
      <c r="A51" s="2" t="s">
        <v>132</v>
      </c>
      <c r="B51" s="2">
        <v>776118</v>
      </c>
      <c r="C51" s="2" t="s">
        <v>78</v>
      </c>
      <c r="D51" s="2">
        <v>66</v>
      </c>
      <c r="E51" s="8">
        <v>3300</v>
      </c>
    </row>
    <row r="52" spans="1:5" x14ac:dyDescent="0.25">
      <c r="A52" s="2" t="s">
        <v>132</v>
      </c>
      <c r="B52" s="2">
        <v>401681</v>
      </c>
      <c r="C52" s="2" t="s">
        <v>78</v>
      </c>
      <c r="D52" s="2">
        <v>102</v>
      </c>
      <c r="E52" s="8">
        <v>7548</v>
      </c>
    </row>
    <row r="53" spans="1:5" x14ac:dyDescent="0.25">
      <c r="A53" s="2" t="s">
        <v>132</v>
      </c>
      <c r="B53" s="2">
        <v>821745</v>
      </c>
      <c r="C53" s="2" t="s">
        <v>78</v>
      </c>
      <c r="D53" s="2">
        <v>79</v>
      </c>
      <c r="E53" s="8">
        <v>1580</v>
      </c>
    </row>
    <row r="54" spans="1:5" x14ac:dyDescent="0.25">
      <c r="A54" s="2" t="s">
        <v>132</v>
      </c>
      <c r="B54" s="2">
        <v>202386</v>
      </c>
      <c r="C54" s="2" t="s">
        <v>78</v>
      </c>
      <c r="D54" s="2">
        <v>132</v>
      </c>
      <c r="E54" s="8">
        <v>12276</v>
      </c>
    </row>
    <row r="55" spans="1:5" x14ac:dyDescent="0.25">
      <c r="A55" s="2" t="s">
        <v>132</v>
      </c>
      <c r="B55" s="2">
        <v>104375</v>
      </c>
      <c r="C55" s="2" t="s">
        <v>78</v>
      </c>
      <c r="D55" s="2">
        <v>39</v>
      </c>
      <c r="E55" s="8">
        <v>312</v>
      </c>
    </row>
    <row r="56" spans="1:5" x14ac:dyDescent="0.25">
      <c r="A56" s="2" t="s">
        <v>132</v>
      </c>
      <c r="B56" s="2">
        <v>235860</v>
      </c>
      <c r="C56" s="2" t="s">
        <v>78</v>
      </c>
      <c r="D56" s="2">
        <v>145</v>
      </c>
      <c r="E56" s="8">
        <v>1160</v>
      </c>
    </row>
    <row r="57" spans="1:5" x14ac:dyDescent="0.25">
      <c r="A57" s="2" t="s">
        <v>132</v>
      </c>
      <c r="B57" s="2">
        <v>477156</v>
      </c>
      <c r="C57" s="2" t="s">
        <v>78</v>
      </c>
      <c r="D57" s="2">
        <v>48</v>
      </c>
      <c r="E57" s="8">
        <v>1680</v>
      </c>
    </row>
    <row r="58" spans="1:5" x14ac:dyDescent="0.25">
      <c r="A58" s="2" t="s">
        <v>132</v>
      </c>
      <c r="B58" s="2">
        <v>320691</v>
      </c>
      <c r="C58" s="2" t="s">
        <v>78</v>
      </c>
      <c r="D58" s="2">
        <v>11</v>
      </c>
      <c r="E58" s="8">
        <v>209</v>
      </c>
    </row>
    <row r="59" spans="1:5" x14ac:dyDescent="0.25">
      <c r="A59" s="2" t="s">
        <v>132</v>
      </c>
      <c r="B59" s="2">
        <v>558332</v>
      </c>
      <c r="C59" s="2" t="s">
        <v>78</v>
      </c>
      <c r="D59" s="2">
        <v>115</v>
      </c>
      <c r="E59" s="8">
        <v>1955</v>
      </c>
    </row>
    <row r="60" spans="1:5" x14ac:dyDescent="0.25">
      <c r="A60" s="2" t="s">
        <v>132</v>
      </c>
      <c r="B60" s="2">
        <v>156812</v>
      </c>
      <c r="C60" s="2" t="s">
        <v>78</v>
      </c>
      <c r="D60" s="2">
        <v>152</v>
      </c>
      <c r="E60" s="8">
        <v>8968</v>
      </c>
    </row>
    <row r="61" spans="1:5" x14ac:dyDescent="0.25">
      <c r="A61" s="2" t="s">
        <v>132</v>
      </c>
      <c r="B61" s="2">
        <v>824637</v>
      </c>
      <c r="C61" s="2" t="s">
        <v>78</v>
      </c>
      <c r="D61" s="2">
        <v>86</v>
      </c>
      <c r="E61" s="8">
        <v>5418</v>
      </c>
    </row>
    <row r="62" spans="1:5" x14ac:dyDescent="0.25">
      <c r="A62" s="2" t="s">
        <v>132</v>
      </c>
      <c r="B62" s="2">
        <v>167040</v>
      </c>
      <c r="C62" s="2" t="s">
        <v>78</v>
      </c>
      <c r="D62" s="2">
        <v>66</v>
      </c>
      <c r="E62" s="8">
        <v>7194</v>
      </c>
    </row>
    <row r="63" spans="1:5" x14ac:dyDescent="0.25">
      <c r="A63" s="2" t="s">
        <v>132</v>
      </c>
      <c r="B63" s="2">
        <v>803330</v>
      </c>
      <c r="C63" s="2" t="s">
        <v>78</v>
      </c>
      <c r="D63" s="2">
        <v>116</v>
      </c>
      <c r="E63" s="8">
        <v>8468</v>
      </c>
    </row>
    <row r="64" spans="1:5" x14ac:dyDescent="0.25">
      <c r="A64" s="2" t="s">
        <v>132</v>
      </c>
      <c r="B64" s="2">
        <v>250827</v>
      </c>
      <c r="C64" s="2" t="s">
        <v>78</v>
      </c>
      <c r="D64" s="2">
        <v>89</v>
      </c>
      <c r="E64" s="8">
        <v>8010</v>
      </c>
    </row>
    <row r="65" spans="1:5" x14ac:dyDescent="0.25">
      <c r="A65" s="2" t="s">
        <v>132</v>
      </c>
      <c r="B65" s="2">
        <v>605290</v>
      </c>
      <c r="C65" s="2" t="s">
        <v>36</v>
      </c>
      <c r="D65" s="2">
        <v>119</v>
      </c>
      <c r="E65" s="8">
        <v>2142</v>
      </c>
    </row>
    <row r="66" spans="1:5" x14ac:dyDescent="0.25">
      <c r="A66" s="2" t="s">
        <v>132</v>
      </c>
      <c r="B66" s="2">
        <v>312187</v>
      </c>
      <c r="C66" s="2" t="s">
        <v>36</v>
      </c>
      <c r="D66" s="2">
        <v>28</v>
      </c>
      <c r="E66" s="8">
        <v>4116</v>
      </c>
    </row>
    <row r="67" spans="1:5" x14ac:dyDescent="0.25">
      <c r="A67" s="2" t="s">
        <v>132</v>
      </c>
      <c r="B67" s="2">
        <v>303581</v>
      </c>
      <c r="C67" s="2" t="s">
        <v>36</v>
      </c>
      <c r="D67" s="2">
        <v>93</v>
      </c>
      <c r="E67" s="8">
        <v>1860</v>
      </c>
    </row>
    <row r="68" spans="1:5" x14ac:dyDescent="0.25">
      <c r="A68" s="2" t="s">
        <v>132</v>
      </c>
      <c r="B68" s="2">
        <v>735076</v>
      </c>
      <c r="C68" s="2" t="s">
        <v>36</v>
      </c>
      <c r="D68" s="2">
        <v>114</v>
      </c>
      <c r="E68" s="8">
        <v>6270</v>
      </c>
    </row>
    <row r="69" spans="1:5" x14ac:dyDescent="0.25">
      <c r="A69" s="2" t="s">
        <v>132</v>
      </c>
      <c r="B69" s="2">
        <v>467396</v>
      </c>
      <c r="C69" s="2" t="s">
        <v>36</v>
      </c>
      <c r="D69" s="2">
        <v>127</v>
      </c>
      <c r="E69" s="8">
        <v>6350</v>
      </c>
    </row>
    <row r="70" spans="1:5" x14ac:dyDescent="0.25">
      <c r="A70" s="2" t="s">
        <v>132</v>
      </c>
      <c r="B70" s="2">
        <v>465336</v>
      </c>
      <c r="C70" s="2" t="s">
        <v>36</v>
      </c>
      <c r="D70" s="2">
        <v>196</v>
      </c>
      <c r="E70" s="8">
        <v>20776</v>
      </c>
    </row>
  </sheetData>
  <dataValidations count="1">
    <dataValidation type="list" allowBlank="1" showInputMessage="1" showErrorMessage="1" sqref="H2" xr:uid="{00000000-0002-0000-0200-000000000000}">
      <formula1>$M$1:$M$4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G205"/>
  <sheetViews>
    <sheetView tabSelected="1" workbookViewId="0">
      <selection activeCell="F2" sqref="F2"/>
    </sheetView>
  </sheetViews>
  <sheetFormatPr defaultColWidth="8.7109375" defaultRowHeight="15" x14ac:dyDescent="0.25"/>
  <cols>
    <col min="1" max="1" width="19.42578125" bestFit="1" customWidth="1"/>
    <col min="2" max="3" width="12.42578125" style="2" customWidth="1"/>
    <col min="4" max="4" width="15.140625" style="6" customWidth="1"/>
    <col min="5" max="5" width="15" style="6" customWidth="1"/>
    <col min="6" max="6" width="16.28515625" style="2" customWidth="1"/>
    <col min="7" max="7" width="20.42578125" style="8" customWidth="1"/>
  </cols>
  <sheetData>
    <row r="1" spans="1:7" ht="25.5" x14ac:dyDescent="0.25">
      <c r="A1" s="60" t="s">
        <v>254</v>
      </c>
      <c r="B1" s="4" t="s">
        <v>0</v>
      </c>
      <c r="C1" s="4" t="s">
        <v>1</v>
      </c>
      <c r="D1" s="13" t="s">
        <v>2</v>
      </c>
      <c r="E1" s="13" t="s">
        <v>3</v>
      </c>
      <c r="F1" s="14" t="s">
        <v>134</v>
      </c>
      <c r="G1" s="7" t="s">
        <v>135</v>
      </c>
    </row>
    <row r="2" spans="1:7" x14ac:dyDescent="0.25">
      <c r="A2" t="str">
        <f>B2&amp;C2</f>
        <v>Alabama2001</v>
      </c>
      <c r="B2" s="2" t="s">
        <v>4</v>
      </c>
      <c r="C2" s="2">
        <v>2001</v>
      </c>
      <c r="D2" s="6">
        <v>4447100</v>
      </c>
      <c r="E2" s="6">
        <v>177884</v>
      </c>
      <c r="F2" s="51" t="str">
        <f>VLOOKUP(B2,'State Abbreviations'!$A$2:$B$52,2,0)</f>
        <v>AL</v>
      </c>
      <c r="G2" s="48">
        <f>IFERROR(VLOOKUP(A2,'State Income (2001-2004)'!$A:$D,4,0),"NO INCOME DATA")</f>
        <v>24477</v>
      </c>
    </row>
    <row r="3" spans="1:7" x14ac:dyDescent="0.25">
      <c r="A3" t="str">
        <f t="shared" ref="A3:A66" si="0">B3&amp;C3</f>
        <v>Alaska2001</v>
      </c>
      <c r="B3" s="2" t="s">
        <v>5</v>
      </c>
      <c r="C3" s="2">
        <v>2001</v>
      </c>
      <c r="D3" s="6">
        <v>626932</v>
      </c>
      <c r="E3" s="6">
        <v>12538.64</v>
      </c>
      <c r="F3" s="51" t="str">
        <f>VLOOKUP(B3,'State Abbreviations'!$A$2:$B$52,2,0)</f>
        <v>AK</v>
      </c>
      <c r="G3" s="48">
        <f>IFERROR(VLOOKUP(A3,'State Income (2001-2004)'!$A:$D,4,0),"NO INCOME DATA")</f>
        <v>31027</v>
      </c>
    </row>
    <row r="4" spans="1:7" x14ac:dyDescent="0.25">
      <c r="A4" t="str">
        <f t="shared" si="0"/>
        <v>Arizona2001</v>
      </c>
      <c r="B4" s="2" t="s">
        <v>6</v>
      </c>
      <c r="C4" s="2">
        <v>2001</v>
      </c>
      <c r="D4" s="6">
        <v>5130632</v>
      </c>
      <c r="E4" s="6">
        <v>102612.64</v>
      </c>
      <c r="F4" s="51" t="str">
        <f>VLOOKUP(B4,'State Abbreviations'!$A$2:$B$52,2,0)</f>
        <v>AZ</v>
      </c>
      <c r="G4" s="48">
        <f>IFERROR(VLOOKUP(A4,'State Income (2001-2004)'!$A:$D,4,0),"NO INCOME DATA")</f>
        <v>25878</v>
      </c>
    </row>
    <row r="5" spans="1:7" x14ac:dyDescent="0.25">
      <c r="A5" t="str">
        <f t="shared" si="0"/>
        <v>Arkansas2001</v>
      </c>
      <c r="B5" s="2" t="s">
        <v>7</v>
      </c>
      <c r="C5" s="2">
        <v>2001</v>
      </c>
      <c r="D5" s="6">
        <v>2673400</v>
      </c>
      <c r="E5" s="6">
        <v>53468</v>
      </c>
      <c r="F5" s="51" t="str">
        <f>VLOOKUP(B5,'State Abbreviations'!$A$2:$B$52,2,0)</f>
        <v>AR</v>
      </c>
      <c r="G5" s="48">
        <f>IFERROR(VLOOKUP(A5,'State Income (2001-2004)'!$A:$D,4,0),"NO INCOME DATA")</f>
        <v>22750</v>
      </c>
    </row>
    <row r="6" spans="1:7" x14ac:dyDescent="0.25">
      <c r="A6" t="str">
        <f t="shared" si="0"/>
        <v>California2001</v>
      </c>
      <c r="B6" s="2" t="s">
        <v>8</v>
      </c>
      <c r="C6" s="2">
        <v>2001</v>
      </c>
      <c r="D6" s="6">
        <v>33871648</v>
      </c>
      <c r="E6" s="6">
        <v>1016149.44</v>
      </c>
      <c r="F6" s="51" t="str">
        <f>VLOOKUP(B6,'State Abbreviations'!$A$2:$B$52,2,0)</f>
        <v>CA</v>
      </c>
      <c r="G6" s="48">
        <f>IFERROR(VLOOKUP(A6,'State Income (2001-2004)'!$A:$D,4,0),"NO INCOME DATA")</f>
        <v>32655</v>
      </c>
    </row>
    <row r="7" spans="1:7" x14ac:dyDescent="0.25">
      <c r="A7" t="str">
        <f t="shared" si="0"/>
        <v>Colorado2001</v>
      </c>
      <c r="B7" s="2" t="s">
        <v>9</v>
      </c>
      <c r="C7" s="2">
        <v>2001</v>
      </c>
      <c r="D7" s="6">
        <v>4301261</v>
      </c>
      <c r="E7" s="6">
        <v>172050.44</v>
      </c>
      <c r="F7" s="51" t="str">
        <f>VLOOKUP(B7,'State Abbreviations'!$A$2:$B$52,2,0)</f>
        <v>CO</v>
      </c>
      <c r="G7" s="48">
        <f>IFERROR(VLOOKUP(A7,'State Income (2001-2004)'!$A:$D,4,0),"NO INCOME DATA")</f>
        <v>33455</v>
      </c>
    </row>
    <row r="8" spans="1:7" x14ac:dyDescent="0.25">
      <c r="A8" t="str">
        <f t="shared" si="0"/>
        <v>Connecticut2001</v>
      </c>
      <c r="B8" s="2" t="s">
        <v>10</v>
      </c>
      <c r="C8" s="2">
        <v>2001</v>
      </c>
      <c r="D8" s="6">
        <v>3405565</v>
      </c>
      <c r="E8" s="6">
        <v>102166.95</v>
      </c>
      <c r="F8" s="51" t="str">
        <f>VLOOKUP(B8,'State Abbreviations'!$A$2:$B$52,2,0)</f>
        <v>CT</v>
      </c>
      <c r="G8" s="48" t="str">
        <f>IFERROR(VLOOKUP(A8,'State Income (2001-2004)'!$A:$D,4,0),"NO INCOME DATA")</f>
        <v>NO INCOME DATA</v>
      </c>
    </row>
    <row r="9" spans="1:7" x14ac:dyDescent="0.25">
      <c r="A9" t="str">
        <f t="shared" si="0"/>
        <v>D.C.2001</v>
      </c>
      <c r="B9" s="2" t="s">
        <v>11</v>
      </c>
      <c r="C9" s="2">
        <v>2001</v>
      </c>
      <c r="D9" s="6">
        <v>783600</v>
      </c>
      <c r="E9" s="6">
        <v>23508</v>
      </c>
      <c r="F9" s="51" t="str">
        <f>VLOOKUP(B9,'State Abbreviations'!$A$2:$B$52,2,0)</f>
        <v>DC</v>
      </c>
      <c r="G9" s="48">
        <f>IFERROR(VLOOKUP(A9,'State Income (2001-2004)'!$A:$D,4,0),"NO INCOME DATA")</f>
        <v>32166</v>
      </c>
    </row>
    <row r="10" spans="1:7" x14ac:dyDescent="0.25">
      <c r="A10" t="str">
        <f t="shared" si="0"/>
        <v>Delaware2001</v>
      </c>
      <c r="B10" s="2" t="s">
        <v>12</v>
      </c>
      <c r="C10" s="2">
        <v>2001</v>
      </c>
      <c r="D10" s="6">
        <v>572059</v>
      </c>
      <c r="E10" s="6">
        <v>17161.77</v>
      </c>
      <c r="F10" s="51" t="str">
        <f>VLOOKUP(B10,'State Abbreviations'!$A$2:$B$52,2,0)</f>
        <v>DE</v>
      </c>
      <c r="G10" s="48">
        <f>IFERROR(VLOOKUP(A10,'State Income (2001-2004)'!$A:$D,4,0),"NO INCOME DATA")</f>
        <v>40539</v>
      </c>
    </row>
    <row r="11" spans="1:7" x14ac:dyDescent="0.25">
      <c r="A11" t="str">
        <f t="shared" si="0"/>
        <v>Florida2001</v>
      </c>
      <c r="B11" s="2" t="s">
        <v>13</v>
      </c>
      <c r="C11" s="2">
        <v>2001</v>
      </c>
      <c r="D11" s="6">
        <v>15982378</v>
      </c>
      <c r="E11" s="6">
        <v>319647.56</v>
      </c>
      <c r="F11" s="51" t="str">
        <f>VLOOKUP(B11,'State Abbreviations'!$A$2:$B$52,2,0)</f>
        <v>FL</v>
      </c>
      <c r="G11" s="48">
        <f>IFERROR(VLOOKUP(A11,'State Income (2001-2004)'!$A:$D,4,0),"NO INCOME DATA")</f>
        <v>29048</v>
      </c>
    </row>
    <row r="12" spans="1:7" x14ac:dyDescent="0.25">
      <c r="A12" t="str">
        <f t="shared" si="0"/>
        <v>Georgia2001</v>
      </c>
      <c r="B12" s="2" t="s">
        <v>14</v>
      </c>
      <c r="C12" s="2">
        <v>2001</v>
      </c>
      <c r="D12" s="6">
        <v>8186453</v>
      </c>
      <c r="E12" s="6">
        <v>245593.59</v>
      </c>
      <c r="F12" s="51" t="str">
        <f>VLOOKUP(B12,'State Abbreviations'!$A$2:$B$52,2,0)</f>
        <v>GA</v>
      </c>
      <c r="G12" s="48">
        <f>IFERROR(VLOOKUP(A12,'State Income (2001-2004)'!$A:$D,4,0),"NO INCOME DATA")</f>
        <v>28523</v>
      </c>
    </row>
    <row r="13" spans="1:7" x14ac:dyDescent="0.25">
      <c r="A13" t="str">
        <f t="shared" si="0"/>
        <v>Hawaii2001</v>
      </c>
      <c r="B13" s="2" t="s">
        <v>15</v>
      </c>
      <c r="C13" s="2">
        <v>2001</v>
      </c>
      <c r="D13" s="6">
        <v>1211537</v>
      </c>
      <c r="E13" s="6">
        <v>48461.48</v>
      </c>
      <c r="F13" s="51" t="str">
        <f>VLOOKUP(B13,'State Abbreviations'!$A$2:$B$52,2,0)</f>
        <v>HI</v>
      </c>
      <c r="G13" s="48">
        <f>IFERROR(VLOOKUP(A13,'State Income (2001-2004)'!$A:$D,4,0),"NO INCOME DATA")</f>
        <v>29034</v>
      </c>
    </row>
    <row r="14" spans="1:7" x14ac:dyDescent="0.25">
      <c r="A14" t="str">
        <f t="shared" si="0"/>
        <v>Idaho2001</v>
      </c>
      <c r="B14" s="2" t="s">
        <v>16</v>
      </c>
      <c r="C14" s="2">
        <v>2001</v>
      </c>
      <c r="D14" s="6">
        <v>1293953</v>
      </c>
      <c r="E14" s="6">
        <v>38818.589999999997</v>
      </c>
      <c r="F14" s="51" t="str">
        <f>VLOOKUP(B14,'State Abbreviations'!$A$2:$B$52,2,0)</f>
        <v>ID</v>
      </c>
      <c r="G14" s="48">
        <f>IFERROR(VLOOKUP(A14,'State Income (2001-2004)'!$A:$D,4,0),"NO INCOME DATA")</f>
        <v>24506</v>
      </c>
    </row>
    <row r="15" spans="1:7" x14ac:dyDescent="0.25">
      <c r="A15" t="str">
        <f t="shared" si="0"/>
        <v>Illinois2001</v>
      </c>
      <c r="B15" s="2" t="s">
        <v>17</v>
      </c>
      <c r="C15" s="2">
        <v>2001</v>
      </c>
      <c r="D15" s="6">
        <v>12419293</v>
      </c>
      <c r="E15" s="6">
        <v>496771.72000000003</v>
      </c>
      <c r="F15" s="51" t="str">
        <f>VLOOKUP(B15,'State Abbreviations'!$A$2:$B$52,2,0)</f>
        <v>IL</v>
      </c>
      <c r="G15" s="48" t="str">
        <f>IFERROR(VLOOKUP(A15,'State Income (2001-2004)'!$A:$D,4,0),"NO INCOME DATA")</f>
        <v>NO INCOME DATA</v>
      </c>
    </row>
    <row r="16" spans="1:7" x14ac:dyDescent="0.25">
      <c r="A16" t="str">
        <f t="shared" si="0"/>
        <v>Indiana2001</v>
      </c>
      <c r="B16" s="2" t="s">
        <v>18</v>
      </c>
      <c r="C16" s="2">
        <v>2001</v>
      </c>
      <c r="D16" s="6">
        <v>6080485</v>
      </c>
      <c r="E16" s="6">
        <v>243219.4</v>
      </c>
      <c r="F16" s="51" t="str">
        <f>VLOOKUP(B16,'State Abbreviations'!$A$2:$B$52,2,0)</f>
        <v>IN</v>
      </c>
      <c r="G16" s="48">
        <f>IFERROR(VLOOKUP(A16,'State Income (2001-2004)'!$A:$D,4,0),"NO INCOME DATA")</f>
        <v>27522</v>
      </c>
    </row>
    <row r="17" spans="1:7" x14ac:dyDescent="0.25">
      <c r="A17" t="str">
        <f t="shared" si="0"/>
        <v>Iowa2001</v>
      </c>
      <c r="B17" s="2" t="s">
        <v>19</v>
      </c>
      <c r="C17" s="2">
        <v>2001</v>
      </c>
      <c r="D17" s="6">
        <v>2926324</v>
      </c>
      <c r="E17" s="6">
        <v>58526.48</v>
      </c>
      <c r="F17" s="51" t="str">
        <f>VLOOKUP(B17,'State Abbreviations'!$A$2:$B$52,2,0)</f>
        <v>IA</v>
      </c>
      <c r="G17" s="48">
        <f>IFERROR(VLOOKUP(A17,'State Income (2001-2004)'!$A:$D,4,0),"NO INCOME DATA")</f>
        <v>27225</v>
      </c>
    </row>
    <row r="18" spans="1:7" x14ac:dyDescent="0.25">
      <c r="A18" t="str">
        <f t="shared" si="0"/>
        <v>Kansas2001</v>
      </c>
      <c r="B18" s="2" t="s">
        <v>20</v>
      </c>
      <c r="C18" s="2">
        <v>2001</v>
      </c>
      <c r="D18" s="6">
        <v>2688418</v>
      </c>
      <c r="E18" s="6">
        <v>107536.72</v>
      </c>
      <c r="F18" s="51" t="str">
        <f>VLOOKUP(B18,'State Abbreviations'!$A$2:$B$52,2,0)</f>
        <v>KS</v>
      </c>
      <c r="G18" s="48">
        <f>IFERROR(VLOOKUP(A18,'State Income (2001-2004)'!$A:$D,4,0),"NO INCOME DATA")</f>
        <v>28432</v>
      </c>
    </row>
    <row r="19" spans="1:7" x14ac:dyDescent="0.25">
      <c r="A19" t="str">
        <f t="shared" si="0"/>
        <v>Kentucky2001</v>
      </c>
      <c r="B19" s="2" t="s">
        <v>21</v>
      </c>
      <c r="C19" s="2">
        <v>2001</v>
      </c>
      <c r="D19" s="6">
        <v>4041769</v>
      </c>
      <c r="E19" s="6">
        <v>161670.76</v>
      </c>
      <c r="F19" s="51" t="str">
        <f>VLOOKUP(B19,'State Abbreviations'!$A$2:$B$52,2,0)</f>
        <v>KY</v>
      </c>
      <c r="G19" s="48" t="str">
        <f>IFERROR(VLOOKUP(A19,'State Income (2001-2004)'!$A:$D,4,0),"NO INCOME DATA")</f>
        <v>NO INCOME DATA</v>
      </c>
    </row>
    <row r="20" spans="1:7" x14ac:dyDescent="0.25">
      <c r="A20" t="str">
        <f t="shared" si="0"/>
        <v>Louisiana2001</v>
      </c>
      <c r="B20" s="2" t="s">
        <v>22</v>
      </c>
      <c r="C20" s="2">
        <v>2001</v>
      </c>
      <c r="D20" s="6">
        <v>4468976</v>
      </c>
      <c r="E20" s="6">
        <v>89379.520000000004</v>
      </c>
      <c r="F20" s="51" t="str">
        <f>VLOOKUP(B20,'State Abbreviations'!$A$2:$B$52,2,0)</f>
        <v>LA</v>
      </c>
      <c r="G20" s="48" t="str">
        <f>IFERROR(VLOOKUP(A20,'State Income (2001-2004)'!$A:$D,4,0),"NO INCOME DATA")</f>
        <v>NO INCOME DATA</v>
      </c>
    </row>
    <row r="21" spans="1:7" x14ac:dyDescent="0.25">
      <c r="A21" t="str">
        <f t="shared" si="0"/>
        <v>Maine2001</v>
      </c>
      <c r="B21" s="2" t="s">
        <v>23</v>
      </c>
      <c r="C21" s="2">
        <v>2001</v>
      </c>
      <c r="D21" s="6">
        <v>1274923</v>
      </c>
      <c r="E21" s="6">
        <v>38247.689999999995</v>
      </c>
      <c r="F21" s="51" t="str">
        <f>VLOOKUP(B21,'State Abbreviations'!$A$2:$B$52,2,0)</f>
        <v>ME</v>
      </c>
      <c r="G21" s="48" t="str">
        <f>IFERROR(VLOOKUP(A21,'State Income (2001-2004)'!$A:$D,4,0),"NO INCOME DATA")</f>
        <v>NO INCOME DATA</v>
      </c>
    </row>
    <row r="22" spans="1:7" x14ac:dyDescent="0.25">
      <c r="A22" t="str">
        <f t="shared" si="0"/>
        <v>Maryland2001</v>
      </c>
      <c r="B22" s="2" t="s">
        <v>24</v>
      </c>
      <c r="C22" s="2">
        <v>2001</v>
      </c>
      <c r="D22" s="6">
        <v>5296486</v>
      </c>
      <c r="E22" s="6">
        <v>158894.57999999999</v>
      </c>
      <c r="F22" s="51" t="str">
        <f>VLOOKUP(B22,'State Abbreviations'!$A$2:$B$52,2,0)</f>
        <v>MD</v>
      </c>
      <c r="G22" s="48">
        <f>IFERROR(VLOOKUP(A22,'State Income (2001-2004)'!$A:$D,4,0),"NO INCOME DATA")</f>
        <v>35279</v>
      </c>
    </row>
    <row r="23" spans="1:7" x14ac:dyDescent="0.25">
      <c r="A23" t="str">
        <f t="shared" si="0"/>
        <v>Massachusetts2001</v>
      </c>
      <c r="B23" s="2" t="s">
        <v>25</v>
      </c>
      <c r="C23" s="2">
        <v>2001</v>
      </c>
      <c r="D23" s="6">
        <v>6349097</v>
      </c>
      <c r="E23" s="6">
        <v>253963.88</v>
      </c>
      <c r="F23" s="51" t="str">
        <f>VLOOKUP(B23,'State Abbreviations'!$A$2:$B$52,2,0)</f>
        <v>MA</v>
      </c>
      <c r="G23" s="48">
        <f>IFERROR(VLOOKUP(A23,'State Income (2001-2004)'!$A:$D,4,0),"NO INCOME DATA")</f>
        <v>38864</v>
      </c>
    </row>
    <row r="24" spans="1:7" x14ac:dyDescent="0.25">
      <c r="A24" t="str">
        <f t="shared" si="0"/>
        <v>Michigan2001</v>
      </c>
      <c r="B24" s="2" t="s">
        <v>26</v>
      </c>
      <c r="C24" s="2">
        <v>2001</v>
      </c>
      <c r="D24" s="6">
        <v>9938444</v>
      </c>
      <c r="E24" s="6">
        <v>198768.88</v>
      </c>
      <c r="F24" s="51" t="str">
        <f>VLOOKUP(B24,'State Abbreviations'!$A$2:$B$52,2,0)</f>
        <v>MI</v>
      </c>
      <c r="G24" s="48">
        <f>IFERROR(VLOOKUP(A24,'State Income (2001-2004)'!$A:$D,4,0),"NO INCOME DATA")</f>
        <v>29629</v>
      </c>
    </row>
    <row r="25" spans="1:7" x14ac:dyDescent="0.25">
      <c r="A25" t="str">
        <f t="shared" si="0"/>
        <v>Minnesota2001</v>
      </c>
      <c r="B25" s="2" t="s">
        <v>27</v>
      </c>
      <c r="C25" s="2">
        <v>2001</v>
      </c>
      <c r="D25" s="6">
        <v>4919479</v>
      </c>
      <c r="E25" s="6">
        <v>196779.16</v>
      </c>
      <c r="F25" s="51" t="str">
        <f>VLOOKUP(B25,'State Abbreviations'!$A$2:$B$52,2,0)</f>
        <v>MN</v>
      </c>
      <c r="G25" s="48">
        <f>IFERROR(VLOOKUP(A25,'State Income (2001-2004)'!$A:$D,4,0),"NO INCOME DATA")</f>
        <v>33059</v>
      </c>
    </row>
    <row r="26" spans="1:7" x14ac:dyDescent="0.25">
      <c r="A26" t="str">
        <f t="shared" si="0"/>
        <v>Mississippi2001</v>
      </c>
      <c r="B26" s="2" t="s">
        <v>28</v>
      </c>
      <c r="C26" s="2">
        <v>2001</v>
      </c>
      <c r="D26" s="6">
        <v>2844658</v>
      </c>
      <c r="E26" s="6">
        <v>85339.739999999991</v>
      </c>
      <c r="F26" s="51" t="str">
        <f>VLOOKUP(B26,'State Abbreviations'!$A$2:$B$52,2,0)</f>
        <v>MS</v>
      </c>
      <c r="G26" s="48">
        <f>IFERROR(VLOOKUP(A26,'State Income (2001-2004)'!$A:$D,4,0),"NO INCOME DATA")</f>
        <v>21653</v>
      </c>
    </row>
    <row r="27" spans="1:7" x14ac:dyDescent="0.25">
      <c r="A27" t="str">
        <f t="shared" si="0"/>
        <v>Missouri2001</v>
      </c>
      <c r="B27" s="2" t="s">
        <v>29</v>
      </c>
      <c r="C27" s="2">
        <v>2001</v>
      </c>
      <c r="D27" s="6">
        <v>5595211</v>
      </c>
      <c r="E27" s="6">
        <v>111904.22</v>
      </c>
      <c r="F27" s="51" t="str">
        <f>VLOOKUP(B27,'State Abbreviations'!$A$2:$B$52,2,0)</f>
        <v>MO</v>
      </c>
      <c r="G27" s="48">
        <f>IFERROR(VLOOKUP(A27,'State Income (2001-2004)'!$A:$D,4,0),"NO INCOME DATA")</f>
        <v>28221</v>
      </c>
    </row>
    <row r="28" spans="1:7" x14ac:dyDescent="0.25">
      <c r="A28" t="str">
        <f t="shared" si="0"/>
        <v>Montana2001</v>
      </c>
      <c r="B28" s="2" t="s">
        <v>30</v>
      </c>
      <c r="C28" s="2">
        <v>2001</v>
      </c>
      <c r="D28" s="6">
        <v>902195</v>
      </c>
      <c r="E28" s="6">
        <v>36087.800000000003</v>
      </c>
      <c r="F28" s="51" t="str">
        <f>VLOOKUP(B28,'State Abbreviations'!$A$2:$B$52,2,0)</f>
        <v>MT</v>
      </c>
      <c r="G28" s="48">
        <f>IFERROR(VLOOKUP(A28,'State Income (2001-2004)'!$A:$D,4,0),"NO INCOME DATA")</f>
        <v>24044</v>
      </c>
    </row>
    <row r="29" spans="1:7" x14ac:dyDescent="0.25">
      <c r="A29" t="str">
        <f t="shared" si="0"/>
        <v>Nebraska2001</v>
      </c>
      <c r="B29" s="2" t="s">
        <v>31</v>
      </c>
      <c r="C29" s="2">
        <v>2001</v>
      </c>
      <c r="D29" s="6">
        <v>1711263</v>
      </c>
      <c r="E29" s="6">
        <v>51337.89</v>
      </c>
      <c r="F29" s="51" t="str">
        <f>VLOOKUP(B29,'State Abbreviations'!$A$2:$B$52,2,0)</f>
        <v>NE</v>
      </c>
      <c r="G29" s="48">
        <f>IFERROR(VLOOKUP(A29,'State Income (2001-2004)'!$A:$D,4,0),"NO INCOME DATA")</f>
        <v>28861</v>
      </c>
    </row>
    <row r="30" spans="1:7" x14ac:dyDescent="0.25">
      <c r="A30" t="str">
        <f t="shared" si="0"/>
        <v>Nevada2001</v>
      </c>
      <c r="B30" s="2" t="s">
        <v>32</v>
      </c>
      <c r="C30" s="2">
        <v>2001</v>
      </c>
      <c r="D30" s="6">
        <v>1998257</v>
      </c>
      <c r="E30" s="6">
        <v>79930.28</v>
      </c>
      <c r="F30" s="51" t="str">
        <f>VLOOKUP(B30,'State Abbreviations'!$A$2:$B$52,2,0)</f>
        <v>NV</v>
      </c>
      <c r="G30" s="48">
        <f>IFERROR(VLOOKUP(A30,'State Income (2001-2004)'!$A:$D,4,0),"NO INCOME DATA")</f>
        <v>30128</v>
      </c>
    </row>
    <row r="31" spans="1:7" x14ac:dyDescent="0.25">
      <c r="A31" t="str">
        <f t="shared" si="0"/>
        <v>New Hampshire2001</v>
      </c>
      <c r="B31" s="2" t="s">
        <v>33</v>
      </c>
      <c r="C31" s="2">
        <v>2001</v>
      </c>
      <c r="D31" s="6">
        <v>1235786</v>
      </c>
      <c r="E31" s="6">
        <v>37073.58</v>
      </c>
      <c r="F31" s="51" t="str">
        <f>VLOOKUP(B31,'State Abbreviations'!$A$2:$B$52,2,0)</f>
        <v>NH</v>
      </c>
      <c r="G31" s="48">
        <f>IFERROR(VLOOKUP(A31,'State Income (2001-2004)'!$A:$D,4,0),"NO INCOME DATA")</f>
        <v>33969</v>
      </c>
    </row>
    <row r="32" spans="1:7" x14ac:dyDescent="0.25">
      <c r="A32" t="str">
        <f t="shared" si="0"/>
        <v>New Jersey2001</v>
      </c>
      <c r="B32" s="2" t="s">
        <v>34</v>
      </c>
      <c r="C32" s="2">
        <v>2001</v>
      </c>
      <c r="D32" s="6">
        <v>8414350</v>
      </c>
      <c r="E32" s="6">
        <v>336574</v>
      </c>
      <c r="F32" s="51" t="str">
        <f>VLOOKUP(B32,'State Abbreviations'!$A$2:$B$52,2,0)</f>
        <v>NJ</v>
      </c>
      <c r="G32" s="48">
        <f>IFERROR(VLOOKUP(A32,'State Income (2001-2004)'!$A:$D,4,0),"NO INCOME DATA")</f>
        <v>38625</v>
      </c>
    </row>
    <row r="33" spans="1:7" x14ac:dyDescent="0.25">
      <c r="A33" t="str">
        <f t="shared" si="0"/>
        <v>New Mexico2001</v>
      </c>
      <c r="B33" s="2" t="s">
        <v>35</v>
      </c>
      <c r="C33" s="2">
        <v>2001</v>
      </c>
      <c r="D33" s="6">
        <v>1819046</v>
      </c>
      <c r="E33" s="6">
        <v>54571.38</v>
      </c>
      <c r="F33" s="51" t="str">
        <f>VLOOKUP(B33,'State Abbreviations'!$A$2:$B$52,2,0)</f>
        <v>NM</v>
      </c>
      <c r="G33" s="48">
        <f>IFERROR(VLOOKUP(A33,'State Income (2001-2004)'!$A:$D,4,0),"NO INCOME DATA")</f>
        <v>23081</v>
      </c>
    </row>
    <row r="34" spans="1:7" x14ac:dyDescent="0.25">
      <c r="A34" t="str">
        <f t="shared" si="0"/>
        <v>New York2001</v>
      </c>
      <c r="B34" s="2" t="s">
        <v>36</v>
      </c>
      <c r="C34" s="2">
        <v>2001</v>
      </c>
      <c r="D34" s="6">
        <v>18976457</v>
      </c>
      <c r="E34" s="6">
        <v>759058.28</v>
      </c>
      <c r="F34" s="51" t="str">
        <f>VLOOKUP(B34,'State Abbreviations'!$A$2:$B$52,2,0)</f>
        <v>NY</v>
      </c>
      <c r="G34" s="48">
        <f>IFERROR(VLOOKUP(A34,'State Income (2001-2004)'!$A:$D,4,0),"NO INCOME DATA")</f>
        <v>35878</v>
      </c>
    </row>
    <row r="35" spans="1:7" x14ac:dyDescent="0.25">
      <c r="A35" t="str">
        <f t="shared" si="0"/>
        <v>North Carolina2001</v>
      </c>
      <c r="B35" s="2" t="s">
        <v>37</v>
      </c>
      <c r="C35" s="2">
        <v>2001</v>
      </c>
      <c r="D35" s="6">
        <v>8049313</v>
      </c>
      <c r="E35" s="6">
        <v>241479.38999999998</v>
      </c>
      <c r="F35" s="51" t="str">
        <f>VLOOKUP(B35,'State Abbreviations'!$A$2:$B$52,2,0)</f>
        <v>NC</v>
      </c>
      <c r="G35" s="48">
        <f>IFERROR(VLOOKUP(A35,'State Income (2001-2004)'!$A:$D,4,0),"NO INCOME DATA")</f>
        <v>27308</v>
      </c>
    </row>
    <row r="36" spans="1:7" x14ac:dyDescent="0.25">
      <c r="A36" t="str">
        <f t="shared" si="0"/>
        <v>North Dakota2001</v>
      </c>
      <c r="B36" s="2" t="s">
        <v>38</v>
      </c>
      <c r="C36" s="2">
        <v>2001</v>
      </c>
      <c r="D36" s="6">
        <v>642200</v>
      </c>
      <c r="E36" s="6">
        <v>25688</v>
      </c>
      <c r="F36" s="51" t="str">
        <f>VLOOKUP(B36,'State Abbreviations'!$A$2:$B$52,2,0)</f>
        <v>ND</v>
      </c>
      <c r="G36" s="48">
        <f>IFERROR(VLOOKUP(A36,'State Income (2001-2004)'!$A:$D,4,0),"NO INCOME DATA")</f>
        <v>25798</v>
      </c>
    </row>
    <row r="37" spans="1:7" x14ac:dyDescent="0.25">
      <c r="A37" t="str">
        <f t="shared" si="0"/>
        <v>Ohio2001</v>
      </c>
      <c r="B37" s="2" t="s">
        <v>39</v>
      </c>
      <c r="C37" s="2">
        <v>2001</v>
      </c>
      <c r="D37" s="6">
        <v>11353140</v>
      </c>
      <c r="E37" s="6">
        <v>227062.80000000002</v>
      </c>
      <c r="F37" s="51" t="str">
        <f>VLOOKUP(B37,'State Abbreviations'!$A$2:$B$52,2,0)</f>
        <v>OH</v>
      </c>
      <c r="G37" s="48">
        <f>IFERROR(VLOOKUP(A37,'State Income (2001-2004)'!$A:$D,4,0),"NO INCOME DATA")</f>
        <v>28699</v>
      </c>
    </row>
    <row r="38" spans="1:7" x14ac:dyDescent="0.25">
      <c r="A38" t="str">
        <f t="shared" si="0"/>
        <v>Oklahoma2001</v>
      </c>
      <c r="B38" s="2" t="s">
        <v>40</v>
      </c>
      <c r="C38" s="2">
        <v>2001</v>
      </c>
      <c r="D38" s="6">
        <v>3450654</v>
      </c>
      <c r="E38" s="6">
        <v>69013.08</v>
      </c>
      <c r="F38" s="51" t="str">
        <f>VLOOKUP(B38,'State Abbreviations'!$A$2:$B$52,2,0)</f>
        <v>OK</v>
      </c>
      <c r="G38" s="48">
        <f>IFERROR(VLOOKUP(A38,'State Income (2001-2004)'!$A:$D,4,0),"NO INCOME DATA")</f>
        <v>24945</v>
      </c>
    </row>
    <row r="39" spans="1:7" x14ac:dyDescent="0.25">
      <c r="A39" t="str">
        <f t="shared" si="0"/>
        <v>Oregon2001</v>
      </c>
      <c r="B39" s="2" t="s">
        <v>41</v>
      </c>
      <c r="C39" s="2">
        <v>2001</v>
      </c>
      <c r="D39" s="6">
        <v>3421399</v>
      </c>
      <c r="E39" s="6">
        <v>68427.98</v>
      </c>
      <c r="F39" s="51" t="str">
        <f>VLOOKUP(B39,'State Abbreviations'!$A$2:$B$52,2,0)</f>
        <v>OR</v>
      </c>
      <c r="G39" s="48">
        <f>IFERROR(VLOOKUP(A39,'State Income (2001-2004)'!$A:$D,4,0),"NO INCOME DATA")</f>
        <v>28222</v>
      </c>
    </row>
    <row r="40" spans="1:7" x14ac:dyDescent="0.25">
      <c r="A40" t="str">
        <f t="shared" si="0"/>
        <v>Pennsylvania2001</v>
      </c>
      <c r="B40" s="2" t="s">
        <v>42</v>
      </c>
      <c r="C40" s="2">
        <v>2001</v>
      </c>
      <c r="D40" s="6">
        <v>12281054</v>
      </c>
      <c r="E40" s="6">
        <v>245621.08000000002</v>
      </c>
      <c r="F40" s="51" t="str">
        <f>VLOOKUP(B40,'State Abbreviations'!$A$2:$B$52,2,0)</f>
        <v>PA</v>
      </c>
      <c r="G40" s="48">
        <f>IFERROR(VLOOKUP(A40,'State Income (2001-2004)'!$A:$D,4,0),"NO INCOME DATA")</f>
        <v>30752</v>
      </c>
    </row>
    <row r="41" spans="1:7" x14ac:dyDescent="0.25">
      <c r="A41" t="str">
        <f t="shared" si="0"/>
        <v>Rhode Island2001</v>
      </c>
      <c r="B41" s="2" t="s">
        <v>43</v>
      </c>
      <c r="C41" s="2">
        <v>2001</v>
      </c>
      <c r="D41" s="6">
        <v>1048319</v>
      </c>
      <c r="E41" s="6">
        <v>41932.76</v>
      </c>
      <c r="F41" s="51" t="str">
        <f>VLOOKUP(B41,'State Abbreviations'!$A$2:$B$52,2,0)</f>
        <v>RI</v>
      </c>
      <c r="G41" s="48">
        <f>IFERROR(VLOOKUP(A41,'State Income (2001-2004)'!$A:$D,4,0),"NO INCOME DATA")</f>
        <v>30256</v>
      </c>
    </row>
    <row r="42" spans="1:7" x14ac:dyDescent="0.25">
      <c r="A42" t="str">
        <f t="shared" si="0"/>
        <v>South Carolina2001</v>
      </c>
      <c r="B42" s="2" t="s">
        <v>44</v>
      </c>
      <c r="C42" s="2">
        <v>2001</v>
      </c>
      <c r="D42" s="6">
        <v>4012012</v>
      </c>
      <c r="E42" s="6">
        <v>160480.48000000001</v>
      </c>
      <c r="F42" s="51" t="str">
        <f>VLOOKUP(B42,'State Abbreviations'!$A$2:$B$52,2,0)</f>
        <v>SC</v>
      </c>
      <c r="G42" s="48">
        <f>IFERROR(VLOOKUP(A42,'State Income (2001-2004)'!$A:$D,4,0),"NO INCOME DATA")</f>
        <v>24840</v>
      </c>
    </row>
    <row r="43" spans="1:7" x14ac:dyDescent="0.25">
      <c r="A43" t="str">
        <f t="shared" si="0"/>
        <v>South Dakota2001</v>
      </c>
      <c r="B43" s="2" t="s">
        <v>45</v>
      </c>
      <c r="C43" s="2">
        <v>2001</v>
      </c>
      <c r="D43" s="6">
        <v>754844</v>
      </c>
      <c r="E43" s="6">
        <v>30193.760000000002</v>
      </c>
      <c r="F43" s="51" t="str">
        <f>VLOOKUP(B43,'State Abbreviations'!$A$2:$B$52,2,0)</f>
        <v>SD</v>
      </c>
      <c r="G43" s="48">
        <f>IFERROR(VLOOKUP(A43,'State Income (2001-2004)'!$A:$D,4,0),"NO INCOME DATA")</f>
        <v>26566</v>
      </c>
    </row>
    <row r="44" spans="1:7" x14ac:dyDescent="0.25">
      <c r="A44" t="str">
        <f t="shared" si="0"/>
        <v>Tennessee2001</v>
      </c>
      <c r="B44" s="2" t="s">
        <v>46</v>
      </c>
      <c r="C44" s="2">
        <v>2001</v>
      </c>
      <c r="D44" s="6">
        <v>5689283</v>
      </c>
      <c r="E44" s="6">
        <v>170678.49</v>
      </c>
      <c r="F44" s="51" t="str">
        <f>VLOOKUP(B44,'State Abbreviations'!$A$2:$B$52,2,0)</f>
        <v>TN</v>
      </c>
      <c r="G44" s="48">
        <f>IFERROR(VLOOKUP(A44,'State Income (2001-2004)'!$A:$D,4,0),"NO INCOME DATA")</f>
        <v>26808</v>
      </c>
    </row>
    <row r="45" spans="1:7" x14ac:dyDescent="0.25">
      <c r="A45" t="str">
        <f t="shared" si="0"/>
        <v>Texas2001</v>
      </c>
      <c r="B45" s="2" t="s">
        <v>47</v>
      </c>
      <c r="C45" s="2">
        <v>2001</v>
      </c>
      <c r="D45" s="6">
        <v>20851820</v>
      </c>
      <c r="E45" s="6">
        <v>417036.4</v>
      </c>
      <c r="F45" s="51" t="str">
        <f>VLOOKUP(B45,'State Abbreviations'!$A$2:$B$52,2,0)</f>
        <v>TX</v>
      </c>
      <c r="G45" s="48">
        <f>IFERROR(VLOOKUP(A45,'State Income (2001-2004)'!$A:$D,4,0),"NO INCOME DATA")</f>
        <v>28472</v>
      </c>
    </row>
    <row r="46" spans="1:7" x14ac:dyDescent="0.25">
      <c r="A46" t="str">
        <f t="shared" si="0"/>
        <v>Utah2001</v>
      </c>
      <c r="B46" s="2" t="s">
        <v>48</v>
      </c>
      <c r="C46" s="2">
        <v>2001</v>
      </c>
      <c r="D46" s="6">
        <v>2233169</v>
      </c>
      <c r="E46" s="6">
        <v>66995.069999999992</v>
      </c>
      <c r="F46" s="51" t="str">
        <f>VLOOKUP(B46,'State Abbreviations'!$A$2:$B$52,2,0)</f>
        <v>UT</v>
      </c>
      <c r="G46" s="48">
        <f>IFERROR(VLOOKUP(A46,'State Income (2001-2004)'!$A:$D,4,0),"NO INCOME DATA")</f>
        <v>24033</v>
      </c>
    </row>
    <row r="47" spans="1:7" x14ac:dyDescent="0.25">
      <c r="A47" t="str">
        <f t="shared" si="0"/>
        <v>Vermont2001</v>
      </c>
      <c r="B47" s="2" t="s">
        <v>49</v>
      </c>
      <c r="C47" s="2">
        <v>2001</v>
      </c>
      <c r="D47" s="6">
        <v>608827</v>
      </c>
      <c r="E47" s="6">
        <v>18264.809999999998</v>
      </c>
      <c r="F47" s="51" t="str">
        <f>VLOOKUP(B47,'State Abbreviations'!$A$2:$B$52,2,0)</f>
        <v>VT</v>
      </c>
      <c r="G47" s="48">
        <f>IFERROR(VLOOKUP(A47,'State Income (2001-2004)'!$A:$D,4,0),"NO INCOME DATA")</f>
        <v>28756</v>
      </c>
    </row>
    <row r="48" spans="1:7" x14ac:dyDescent="0.25">
      <c r="A48" t="str">
        <f t="shared" si="0"/>
        <v>Virginia2001</v>
      </c>
      <c r="B48" s="2" t="s">
        <v>50</v>
      </c>
      <c r="C48" s="2">
        <v>2001</v>
      </c>
      <c r="D48" s="6">
        <v>7078515</v>
      </c>
      <c r="E48" s="6">
        <v>212355.44999999998</v>
      </c>
      <c r="F48" s="51" t="str">
        <f>VLOOKUP(B48,'State Abbreviations'!$A$2:$B$52,2,0)</f>
        <v>VA</v>
      </c>
      <c r="G48" s="48">
        <f>IFERROR(VLOOKUP(A48,'State Income (2001-2004)'!$A:$D,4,0),"NO INCOME DATA")</f>
        <v>32338</v>
      </c>
    </row>
    <row r="49" spans="1:7" x14ac:dyDescent="0.25">
      <c r="A49" t="str">
        <f t="shared" si="0"/>
        <v>Washington2001</v>
      </c>
      <c r="B49" s="2" t="s">
        <v>51</v>
      </c>
      <c r="C49" s="2">
        <v>2001</v>
      </c>
      <c r="D49" s="6">
        <v>5894121</v>
      </c>
      <c r="E49" s="6">
        <v>176823.63</v>
      </c>
      <c r="F49" s="51" t="str">
        <f>VLOOKUP(B49,'State Abbreviations'!$A$2:$B$52,2,0)</f>
        <v>WA</v>
      </c>
      <c r="G49" s="48">
        <f>IFERROR(VLOOKUP(A49,'State Income (2001-2004)'!$A:$D,4,0),"NO INCOME DATA")</f>
        <v>31976</v>
      </c>
    </row>
    <row r="50" spans="1:7" x14ac:dyDescent="0.25">
      <c r="A50" t="str">
        <f t="shared" si="0"/>
        <v>West Virginia2001</v>
      </c>
      <c r="B50" s="2" t="s">
        <v>52</v>
      </c>
      <c r="C50" s="2">
        <v>2001</v>
      </c>
      <c r="D50" s="6">
        <v>1808344</v>
      </c>
      <c r="E50" s="6">
        <v>72333.759999999995</v>
      </c>
      <c r="F50" s="51" t="str">
        <f>VLOOKUP(B50,'State Abbreviations'!$A$2:$B$52,2,0)</f>
        <v>WV</v>
      </c>
      <c r="G50" s="48">
        <f>IFERROR(VLOOKUP(A50,'State Income (2001-2004)'!$A:$D,4,0),"NO INCOME DATA")</f>
        <v>22862</v>
      </c>
    </row>
    <row r="51" spans="1:7" x14ac:dyDescent="0.25">
      <c r="A51" t="str">
        <f t="shared" si="0"/>
        <v>Wisconsin2001</v>
      </c>
      <c r="B51" s="2" t="s">
        <v>53</v>
      </c>
      <c r="C51" s="2">
        <v>2001</v>
      </c>
      <c r="D51" s="6">
        <v>5363675</v>
      </c>
      <c r="E51" s="6">
        <v>214547</v>
      </c>
      <c r="F51" s="51" t="str">
        <f>VLOOKUP(B51,'State Abbreviations'!$A$2:$B$52,2,0)</f>
        <v>WI</v>
      </c>
      <c r="G51" s="48">
        <f>IFERROR(VLOOKUP(A51,'State Income (2001-2004)'!$A:$D,4,0),"NO INCOME DATA")</f>
        <v>29196</v>
      </c>
    </row>
    <row r="52" spans="1:7" x14ac:dyDescent="0.25">
      <c r="A52" t="str">
        <f t="shared" si="0"/>
        <v>Wyoming2001</v>
      </c>
      <c r="B52" s="2" t="s">
        <v>54</v>
      </c>
      <c r="C52" s="2">
        <v>2001</v>
      </c>
      <c r="D52" s="6">
        <v>493782</v>
      </c>
      <c r="E52" s="6">
        <v>19751.28</v>
      </c>
      <c r="F52" s="51" t="str">
        <f>VLOOKUP(B52,'State Abbreviations'!$A$2:$B$52,2,0)</f>
        <v>WY</v>
      </c>
      <c r="G52" s="48">
        <f>IFERROR(VLOOKUP(A52,'State Income (2001-2004)'!$A:$D,4,0),"NO INCOME DATA")</f>
        <v>29587</v>
      </c>
    </row>
    <row r="53" spans="1:7" x14ac:dyDescent="0.25">
      <c r="A53" t="str">
        <f t="shared" si="0"/>
        <v>Alabama2002</v>
      </c>
      <c r="B53" s="2" t="s">
        <v>4</v>
      </c>
      <c r="C53" s="2">
        <v>2002</v>
      </c>
      <c r="D53" s="6">
        <v>4530182</v>
      </c>
      <c r="E53" s="6">
        <v>135905.46</v>
      </c>
      <c r="F53" s="51" t="str">
        <f>VLOOKUP(B53,'State Abbreviations'!$A$2:$B$52,2,0)</f>
        <v>AL</v>
      </c>
      <c r="G53" s="48">
        <f>IFERROR(VLOOKUP(A53,'State Income (2001-2004)'!$A:$D,4,0),"NO INCOME DATA")</f>
        <v>25128</v>
      </c>
    </row>
    <row r="54" spans="1:7" x14ac:dyDescent="0.25">
      <c r="A54" t="str">
        <f t="shared" si="0"/>
        <v>Alaska2002</v>
      </c>
      <c r="B54" s="2" t="s">
        <v>5</v>
      </c>
      <c r="C54" s="2">
        <v>2002</v>
      </c>
      <c r="D54" s="6">
        <v>655435</v>
      </c>
      <c r="E54" s="6">
        <v>19663.05</v>
      </c>
      <c r="F54" s="51" t="str">
        <f>VLOOKUP(B54,'State Abbreviations'!$A$2:$B$52,2,0)</f>
        <v>AK</v>
      </c>
      <c r="G54" s="48">
        <f>IFERROR(VLOOKUP(A54,'State Income (2001-2004)'!$A:$D,4,0),"NO INCOME DATA")</f>
        <v>32151</v>
      </c>
    </row>
    <row r="55" spans="1:7" x14ac:dyDescent="0.25">
      <c r="A55" t="str">
        <f t="shared" si="0"/>
        <v>Arizona2002</v>
      </c>
      <c r="B55" s="2" t="s">
        <v>6</v>
      </c>
      <c r="C55" s="2">
        <v>2002</v>
      </c>
      <c r="D55" s="6">
        <v>5743834</v>
      </c>
      <c r="E55" s="6">
        <v>114876.68000000001</v>
      </c>
      <c r="F55" s="51" t="str">
        <f>VLOOKUP(B55,'State Abbreviations'!$A$2:$B$52,2,0)</f>
        <v>AZ</v>
      </c>
      <c r="G55" s="48">
        <f>IFERROR(VLOOKUP(A55,'State Income (2001-2004)'!$A:$D,4,0),"NO INCOME DATA")</f>
        <v>26183</v>
      </c>
    </row>
    <row r="56" spans="1:7" x14ac:dyDescent="0.25">
      <c r="A56" t="str">
        <f t="shared" si="0"/>
        <v>Arkansas2002</v>
      </c>
      <c r="B56" s="2" t="s">
        <v>7</v>
      </c>
      <c r="C56" s="2">
        <v>2002</v>
      </c>
      <c r="D56" s="6">
        <v>2752629</v>
      </c>
      <c r="E56" s="6">
        <v>110105.16</v>
      </c>
      <c r="F56" s="51" t="str">
        <f>VLOOKUP(B56,'State Abbreviations'!$A$2:$B$52,2,0)</f>
        <v>AR</v>
      </c>
      <c r="G56" s="48">
        <f>IFERROR(VLOOKUP(A56,'State Income (2001-2004)'!$A:$D,4,0),"NO INCOME DATA")</f>
        <v>23512</v>
      </c>
    </row>
    <row r="57" spans="1:7" x14ac:dyDescent="0.25">
      <c r="A57" t="str">
        <f t="shared" si="0"/>
        <v>California2002</v>
      </c>
      <c r="B57" s="2" t="s">
        <v>8</v>
      </c>
      <c r="C57" s="2">
        <v>2002</v>
      </c>
      <c r="D57" s="6">
        <v>35893799</v>
      </c>
      <c r="E57" s="6">
        <v>1076813.97</v>
      </c>
      <c r="F57" s="51" t="str">
        <f>VLOOKUP(B57,'State Abbreviations'!$A$2:$B$52,2,0)</f>
        <v>CA</v>
      </c>
      <c r="G57" s="48">
        <f>IFERROR(VLOOKUP(A57,'State Income (2001-2004)'!$A:$D,4,0),"NO INCOME DATA")</f>
        <v>32996</v>
      </c>
    </row>
    <row r="58" spans="1:7" x14ac:dyDescent="0.25">
      <c r="A58" t="str">
        <f t="shared" si="0"/>
        <v>Colorado2002</v>
      </c>
      <c r="B58" s="2" t="s">
        <v>9</v>
      </c>
      <c r="C58" s="2">
        <v>2002</v>
      </c>
      <c r="D58" s="6">
        <v>4601403</v>
      </c>
      <c r="E58" s="6">
        <v>138042.09</v>
      </c>
      <c r="F58" s="51" t="str">
        <f>VLOOKUP(B58,'State Abbreviations'!$A$2:$B$52,2,0)</f>
        <v>CO</v>
      </c>
      <c r="G58" s="48">
        <f>IFERROR(VLOOKUP(A58,'State Income (2001-2004)'!$A:$D,4,0),"NO INCOME DATA")</f>
        <v>33276</v>
      </c>
    </row>
    <row r="59" spans="1:7" x14ac:dyDescent="0.25">
      <c r="A59" t="str">
        <f t="shared" si="0"/>
        <v>Connecticut2002</v>
      </c>
      <c r="B59" s="2" t="s">
        <v>10</v>
      </c>
      <c r="C59" s="2">
        <v>2002</v>
      </c>
      <c r="D59" s="6">
        <v>3503604</v>
      </c>
      <c r="E59" s="6">
        <v>140144.16</v>
      </c>
      <c r="F59" s="51" t="str">
        <f>VLOOKUP(B59,'State Abbreviations'!$A$2:$B$52,2,0)</f>
        <v>CT</v>
      </c>
      <c r="G59" s="48">
        <f>IFERROR(VLOOKUP(A59,'State Income (2001-2004)'!$A:$D,4,0),"NO INCOME DATA")</f>
        <v>42706</v>
      </c>
    </row>
    <row r="60" spans="1:7" x14ac:dyDescent="0.25">
      <c r="A60" t="str">
        <f t="shared" si="0"/>
        <v>D.C.2002</v>
      </c>
      <c r="B60" s="2" t="s">
        <v>11</v>
      </c>
      <c r="C60" s="2">
        <v>2002</v>
      </c>
      <c r="D60" s="6">
        <v>830364</v>
      </c>
      <c r="E60" s="6">
        <v>33214.559999999998</v>
      </c>
      <c r="F60" s="51" t="str">
        <f>VLOOKUP(B60,'State Abbreviations'!$A$2:$B$52,2,0)</f>
        <v>DC</v>
      </c>
      <c r="G60" s="48" t="str">
        <f>IFERROR(VLOOKUP(A60,'State Income (2001-2004)'!$A:$D,4,0),"NO INCOME DATA")</f>
        <v>NO INCOME DATA</v>
      </c>
    </row>
    <row r="61" spans="1:7" x14ac:dyDescent="0.25">
      <c r="A61" t="str">
        <f t="shared" si="0"/>
        <v>Delaware2002</v>
      </c>
      <c r="B61" s="2" t="s">
        <v>12</v>
      </c>
      <c r="C61" s="2">
        <v>2002</v>
      </c>
      <c r="D61" s="6">
        <v>553523</v>
      </c>
      <c r="E61" s="6">
        <v>16605.689999999999</v>
      </c>
      <c r="F61" s="51" t="str">
        <f>VLOOKUP(B61,'State Abbreviations'!$A$2:$B$52,2,0)</f>
        <v>DE</v>
      </c>
      <c r="G61" s="48">
        <f>IFERROR(VLOOKUP(A61,'State Income (2001-2004)'!$A:$D,4,0),"NO INCOME DATA")</f>
        <v>42120</v>
      </c>
    </row>
    <row r="62" spans="1:7" x14ac:dyDescent="0.25">
      <c r="A62" t="str">
        <f t="shared" si="0"/>
        <v>Florida2002</v>
      </c>
      <c r="B62" s="2" t="s">
        <v>13</v>
      </c>
      <c r="C62" s="2">
        <v>2002</v>
      </c>
      <c r="D62" s="6">
        <v>17397161</v>
      </c>
      <c r="E62" s="6">
        <v>695886.44000000006</v>
      </c>
      <c r="F62" s="51" t="str">
        <f>VLOOKUP(B62,'State Abbreviations'!$A$2:$B$52,2,0)</f>
        <v>FL</v>
      </c>
      <c r="G62" s="48">
        <f>IFERROR(VLOOKUP(A62,'State Income (2001-2004)'!$A:$D,4,0),"NO INCOME DATA")</f>
        <v>29596</v>
      </c>
    </row>
    <row r="63" spans="1:7" x14ac:dyDescent="0.25">
      <c r="A63" t="str">
        <f t="shared" si="0"/>
        <v>Georgia2002</v>
      </c>
      <c r="B63" s="2" t="s">
        <v>14</v>
      </c>
      <c r="C63" s="2">
        <v>2002</v>
      </c>
      <c r="D63" s="6">
        <v>8829383</v>
      </c>
      <c r="E63" s="6">
        <v>176587.66</v>
      </c>
      <c r="F63" s="51" t="str">
        <f>VLOOKUP(B63,'State Abbreviations'!$A$2:$B$52,2,0)</f>
        <v>GA</v>
      </c>
      <c r="G63" s="48">
        <f>IFERROR(VLOOKUP(A63,'State Income (2001-2004)'!$A:$D,4,0),"NO INCOME DATA")</f>
        <v>28821</v>
      </c>
    </row>
    <row r="64" spans="1:7" x14ac:dyDescent="0.25">
      <c r="A64" t="str">
        <f t="shared" si="0"/>
        <v>Hawaii2002</v>
      </c>
      <c r="B64" s="2" t="s">
        <v>15</v>
      </c>
      <c r="C64" s="2">
        <v>2002</v>
      </c>
      <c r="D64" s="6">
        <v>1262840</v>
      </c>
      <c r="E64" s="6">
        <v>50513.599999999999</v>
      </c>
      <c r="F64" s="51" t="str">
        <f>VLOOKUP(B64,'State Abbreviations'!$A$2:$B$52,2,0)</f>
        <v>HI</v>
      </c>
      <c r="G64" s="48">
        <f>IFERROR(VLOOKUP(A64,'State Income (2001-2004)'!$A:$D,4,0),"NO INCOME DATA")</f>
        <v>30001</v>
      </c>
    </row>
    <row r="65" spans="1:7" x14ac:dyDescent="0.25">
      <c r="A65" t="str">
        <f t="shared" si="0"/>
        <v>Idaho2002</v>
      </c>
      <c r="B65" s="2" t="s">
        <v>16</v>
      </c>
      <c r="C65" s="2">
        <v>2002</v>
      </c>
      <c r="D65" s="6">
        <v>1393262</v>
      </c>
      <c r="E65" s="6">
        <v>55730.48</v>
      </c>
      <c r="F65" s="51" t="str">
        <f>VLOOKUP(B65,'State Abbreviations'!$A$2:$B$52,2,0)</f>
        <v>ID</v>
      </c>
      <c r="G65" s="48">
        <f>IFERROR(VLOOKUP(A65,'State Income (2001-2004)'!$A:$D,4,0),"NO INCOME DATA")</f>
        <v>25057</v>
      </c>
    </row>
    <row r="66" spans="1:7" x14ac:dyDescent="0.25">
      <c r="A66" t="str">
        <f t="shared" si="0"/>
        <v>Illinois2002</v>
      </c>
      <c r="B66" s="2" t="s">
        <v>17</v>
      </c>
      <c r="C66" s="2">
        <v>2002</v>
      </c>
      <c r="D66" s="6">
        <v>12713634</v>
      </c>
      <c r="E66" s="6">
        <v>381409.01999999996</v>
      </c>
      <c r="F66" s="51" t="str">
        <f>VLOOKUP(B66,'State Abbreviations'!$A$2:$B$52,2,0)</f>
        <v>IL</v>
      </c>
      <c r="G66" s="48">
        <f>IFERROR(VLOOKUP(A66,'State Income (2001-2004)'!$A:$D,4,0),"NO INCOME DATA")</f>
        <v>33404</v>
      </c>
    </row>
    <row r="67" spans="1:7" x14ac:dyDescent="0.25">
      <c r="A67" t="str">
        <f t="shared" ref="A67:A130" si="1">B67&amp;C67</f>
        <v>Indiana2002</v>
      </c>
      <c r="B67" s="2" t="s">
        <v>18</v>
      </c>
      <c r="C67" s="2">
        <v>2002</v>
      </c>
      <c r="D67" s="6">
        <v>6237569</v>
      </c>
      <c r="E67" s="6">
        <v>187127.07</v>
      </c>
      <c r="F67" s="51" t="str">
        <f>VLOOKUP(B67,'State Abbreviations'!$A$2:$B$52,2,0)</f>
        <v>IN</v>
      </c>
      <c r="G67" s="48">
        <f>IFERROR(VLOOKUP(A67,'State Income (2001-2004)'!$A:$D,4,0),"NO INCOME DATA")</f>
        <v>28240</v>
      </c>
    </row>
    <row r="68" spans="1:7" x14ac:dyDescent="0.25">
      <c r="A68" t="str">
        <f t="shared" si="1"/>
        <v>Iowa2002</v>
      </c>
      <c r="B68" s="2" t="s">
        <v>19</v>
      </c>
      <c r="C68" s="2">
        <v>2002</v>
      </c>
      <c r="D68" s="6">
        <v>2954451</v>
      </c>
      <c r="E68" s="6">
        <v>59089.020000000004</v>
      </c>
      <c r="F68" s="51" t="str">
        <f>VLOOKUP(B68,'State Abbreviations'!$A$2:$B$52,2,0)</f>
        <v>IA</v>
      </c>
      <c r="G68" s="48">
        <f>IFERROR(VLOOKUP(A68,'State Income (2001-2004)'!$A:$D,4,0),"NO INCOME DATA")</f>
        <v>28280</v>
      </c>
    </row>
    <row r="69" spans="1:7" x14ac:dyDescent="0.25">
      <c r="A69" t="str">
        <f t="shared" si="1"/>
        <v>Kansas2002</v>
      </c>
      <c r="B69" s="2" t="s">
        <v>20</v>
      </c>
      <c r="C69" s="2">
        <v>2002</v>
      </c>
      <c r="D69" s="6">
        <v>2735502</v>
      </c>
      <c r="E69" s="6">
        <v>109420.08</v>
      </c>
      <c r="F69" s="51" t="str">
        <f>VLOOKUP(B69,'State Abbreviations'!$A$2:$B$52,2,0)</f>
        <v>KS</v>
      </c>
      <c r="G69" s="48">
        <f>IFERROR(VLOOKUP(A69,'State Income (2001-2004)'!$A:$D,4,0),"NO INCOME DATA")</f>
        <v>29141</v>
      </c>
    </row>
    <row r="70" spans="1:7" x14ac:dyDescent="0.25">
      <c r="A70" t="str">
        <f t="shared" si="1"/>
        <v>Kentucky2002</v>
      </c>
      <c r="B70" s="2" t="s">
        <v>21</v>
      </c>
      <c r="C70" s="2">
        <v>2002</v>
      </c>
      <c r="D70" s="6">
        <v>4145922</v>
      </c>
      <c r="E70" s="6">
        <v>124377.65999999999</v>
      </c>
      <c r="F70" s="51" t="str">
        <f>VLOOKUP(B70,'State Abbreviations'!$A$2:$B$52,2,0)</f>
        <v>KY</v>
      </c>
      <c r="G70" s="48" t="str">
        <f>IFERROR(VLOOKUP(A70,'State Income (2001-2004)'!$A:$D,4,0),"NO INCOME DATA")</f>
        <v>NO INCOME DATA</v>
      </c>
    </row>
    <row r="71" spans="1:7" x14ac:dyDescent="0.25">
      <c r="A71" t="str">
        <f t="shared" si="1"/>
        <v>Louisiana2002</v>
      </c>
      <c r="B71" s="2" t="s">
        <v>22</v>
      </c>
      <c r="C71" s="2">
        <v>2002</v>
      </c>
      <c r="D71" s="6">
        <v>4515770</v>
      </c>
      <c r="E71" s="6">
        <v>180630.80000000002</v>
      </c>
      <c r="F71" s="51" t="str">
        <f>VLOOKUP(B71,'State Abbreviations'!$A$2:$B$52,2,0)</f>
        <v>LA</v>
      </c>
      <c r="G71" s="48">
        <f>IFERROR(VLOOKUP(A71,'State Income (2001-2004)'!$A:$D,4,0),"NO INCOME DATA")</f>
        <v>25446</v>
      </c>
    </row>
    <row r="72" spans="1:7" x14ac:dyDescent="0.25">
      <c r="A72" t="str">
        <f t="shared" si="1"/>
        <v>Maine2002</v>
      </c>
      <c r="B72" s="2" t="s">
        <v>23</v>
      </c>
      <c r="C72" s="2">
        <v>2002</v>
      </c>
      <c r="D72" s="6">
        <v>1317253</v>
      </c>
      <c r="E72" s="6">
        <v>52690.12</v>
      </c>
      <c r="F72" s="51" t="str">
        <f>VLOOKUP(B72,'State Abbreviations'!$A$2:$B$52,2,0)</f>
        <v>ME</v>
      </c>
      <c r="G72" s="48">
        <f>IFERROR(VLOOKUP(A72,'State Income (2001-2004)'!$A:$D,4,0),"NO INCOME DATA")</f>
        <v>27744</v>
      </c>
    </row>
    <row r="73" spans="1:7" x14ac:dyDescent="0.25">
      <c r="A73" t="str">
        <f t="shared" si="1"/>
        <v>Maryland2002</v>
      </c>
      <c r="B73" s="2" t="s">
        <v>24</v>
      </c>
      <c r="C73" s="2">
        <v>2002</v>
      </c>
      <c r="D73" s="6">
        <v>5558058</v>
      </c>
      <c r="E73" s="6">
        <v>111161.16</v>
      </c>
      <c r="F73" s="51" t="str">
        <f>VLOOKUP(B73,'State Abbreviations'!$A$2:$B$52,2,0)</f>
        <v>MD</v>
      </c>
      <c r="G73" s="48" t="str">
        <f>IFERROR(VLOOKUP(A73,'State Income (2001-2004)'!$A:$D,4,0),"NO INCOME DATA")</f>
        <v>NO INCOME DATA</v>
      </c>
    </row>
    <row r="74" spans="1:7" x14ac:dyDescent="0.25">
      <c r="A74" t="str">
        <f t="shared" si="1"/>
        <v>Massachusetts2002</v>
      </c>
      <c r="B74" s="2" t="s">
        <v>25</v>
      </c>
      <c r="C74" s="2">
        <v>2002</v>
      </c>
      <c r="D74" s="6">
        <v>6416505</v>
      </c>
      <c r="E74" s="6">
        <v>192495.15</v>
      </c>
      <c r="F74" s="51" t="str">
        <f>VLOOKUP(B74,'State Abbreviations'!$A$2:$B$52,2,0)</f>
        <v>MA</v>
      </c>
      <c r="G74" s="48">
        <f>IFERROR(VLOOKUP(A74,'State Income (2001-2004)'!$A:$D,4,0),"NO INCOME DATA")</f>
        <v>39244</v>
      </c>
    </row>
    <row r="75" spans="1:7" x14ac:dyDescent="0.25">
      <c r="A75" t="str">
        <f t="shared" si="1"/>
        <v>Michigan2002</v>
      </c>
      <c r="B75" s="2" t="s">
        <v>26</v>
      </c>
      <c r="C75" s="2">
        <v>2002</v>
      </c>
      <c r="D75" s="6">
        <v>10112620</v>
      </c>
      <c r="E75" s="6">
        <v>202252.4</v>
      </c>
      <c r="F75" s="51" t="str">
        <f>VLOOKUP(B75,'State Abbreviations'!$A$2:$B$52,2,0)</f>
        <v>MI</v>
      </c>
      <c r="G75" s="48">
        <f>IFERROR(VLOOKUP(A75,'State Income (2001-2004)'!$A:$D,4,0),"NO INCOME DATA")</f>
        <v>30296</v>
      </c>
    </row>
    <row r="76" spans="1:7" x14ac:dyDescent="0.25">
      <c r="A76" t="str">
        <f t="shared" si="1"/>
        <v>Minnesota2002</v>
      </c>
      <c r="B76" s="2" t="s">
        <v>27</v>
      </c>
      <c r="C76" s="2">
        <v>2002</v>
      </c>
      <c r="D76" s="6">
        <v>5100958</v>
      </c>
      <c r="E76" s="6">
        <v>102019.16</v>
      </c>
      <c r="F76" s="51" t="str">
        <f>VLOOKUP(B76,'State Abbreviations'!$A$2:$B$52,2,0)</f>
        <v>MN</v>
      </c>
      <c r="G76" s="48">
        <f>IFERROR(VLOOKUP(A76,'State Income (2001-2004)'!$A:$D,4,0),"NO INCOME DATA")</f>
        <v>34071</v>
      </c>
    </row>
    <row r="77" spans="1:7" x14ac:dyDescent="0.25">
      <c r="A77" t="str">
        <f t="shared" si="1"/>
        <v>Mississippi2002</v>
      </c>
      <c r="B77" s="2" t="s">
        <v>28</v>
      </c>
      <c r="C77" s="2">
        <v>2002</v>
      </c>
      <c r="D77" s="6">
        <v>2902966</v>
      </c>
      <c r="E77" s="6">
        <v>58059.32</v>
      </c>
      <c r="F77" s="51" t="str">
        <f>VLOOKUP(B77,'State Abbreviations'!$A$2:$B$52,2,0)</f>
        <v>MS</v>
      </c>
      <c r="G77" s="48">
        <f>IFERROR(VLOOKUP(A77,'State Income (2001-2004)'!$A:$D,4,0),"NO INCOME DATA")</f>
        <v>22372</v>
      </c>
    </row>
    <row r="78" spans="1:7" x14ac:dyDescent="0.25">
      <c r="A78" t="str">
        <f t="shared" si="1"/>
        <v>Missouri2002</v>
      </c>
      <c r="B78" s="2" t="s">
        <v>29</v>
      </c>
      <c r="C78" s="2">
        <v>2002</v>
      </c>
      <c r="D78" s="6">
        <v>5754618</v>
      </c>
      <c r="E78" s="6">
        <v>115092.36</v>
      </c>
      <c r="F78" s="51" t="str">
        <f>VLOOKUP(B78,'State Abbreviations'!$A$2:$B$52,2,0)</f>
        <v>MO</v>
      </c>
      <c r="G78" s="48">
        <f>IFERROR(VLOOKUP(A78,'State Income (2001-2004)'!$A:$D,4,0),"NO INCOME DATA")</f>
        <v>28936</v>
      </c>
    </row>
    <row r="79" spans="1:7" x14ac:dyDescent="0.25">
      <c r="A79" t="str">
        <f t="shared" si="1"/>
        <v>Montana2002</v>
      </c>
      <c r="B79" s="2" t="s">
        <v>30</v>
      </c>
      <c r="C79" s="2">
        <v>2002</v>
      </c>
      <c r="D79" s="6">
        <v>926865</v>
      </c>
      <c r="E79" s="6">
        <v>27805.95</v>
      </c>
      <c r="F79" s="51" t="str">
        <f>VLOOKUP(B79,'State Abbreviations'!$A$2:$B$52,2,0)</f>
        <v>MT</v>
      </c>
      <c r="G79" s="48">
        <f>IFERROR(VLOOKUP(A79,'State Income (2001-2004)'!$A:$D,4,0),"NO INCOME DATA")</f>
        <v>25020</v>
      </c>
    </row>
    <row r="80" spans="1:7" x14ac:dyDescent="0.25">
      <c r="A80" t="str">
        <f t="shared" si="1"/>
        <v>Nebraska2002</v>
      </c>
      <c r="B80" s="2" t="s">
        <v>31</v>
      </c>
      <c r="C80" s="2">
        <v>2002</v>
      </c>
      <c r="D80" s="6">
        <v>1747214</v>
      </c>
      <c r="E80" s="6">
        <v>69888.56</v>
      </c>
      <c r="F80" s="51" t="str">
        <f>VLOOKUP(B80,'State Abbreviations'!$A$2:$B$52,2,0)</f>
        <v>NE</v>
      </c>
      <c r="G80" s="48">
        <f>IFERROR(VLOOKUP(A80,'State Income (2001-2004)'!$A:$D,4,0),"NO INCOME DATA")</f>
        <v>29771</v>
      </c>
    </row>
    <row r="81" spans="1:7" x14ac:dyDescent="0.25">
      <c r="A81" t="str">
        <f t="shared" si="1"/>
        <v>Nevada2002</v>
      </c>
      <c r="B81" s="2" t="s">
        <v>32</v>
      </c>
      <c r="C81" s="2">
        <v>2002</v>
      </c>
      <c r="D81" s="6">
        <v>2334771</v>
      </c>
      <c r="E81" s="6">
        <v>93390.84</v>
      </c>
      <c r="F81" s="51" t="str">
        <f>VLOOKUP(B81,'State Abbreviations'!$A$2:$B$52,2,0)</f>
        <v>NV</v>
      </c>
      <c r="G81" s="48">
        <f>IFERROR(VLOOKUP(A81,'State Income (2001-2004)'!$A:$D,4,0),"NO INCOME DATA")</f>
        <v>30180</v>
      </c>
    </row>
    <row r="82" spans="1:7" x14ac:dyDescent="0.25">
      <c r="A82" t="str">
        <f t="shared" si="1"/>
        <v>New Hampshire2002</v>
      </c>
      <c r="B82" s="2" t="s">
        <v>33</v>
      </c>
      <c r="C82" s="2">
        <v>2002</v>
      </c>
      <c r="D82" s="6">
        <v>1299500</v>
      </c>
      <c r="E82" s="6">
        <v>51980</v>
      </c>
      <c r="F82" s="51" t="str">
        <f>VLOOKUP(B82,'State Abbreviations'!$A$2:$B$52,2,0)</f>
        <v>NH</v>
      </c>
      <c r="G82" s="48">
        <f>IFERROR(VLOOKUP(A82,'State Income (2001-2004)'!$A:$D,4,0),"NO INCOME DATA")</f>
        <v>34334</v>
      </c>
    </row>
    <row r="83" spans="1:7" x14ac:dyDescent="0.25">
      <c r="A83" t="str">
        <f t="shared" si="1"/>
        <v>New Jersey2002</v>
      </c>
      <c r="B83" s="2" t="s">
        <v>34</v>
      </c>
      <c r="C83" s="2">
        <v>2002</v>
      </c>
      <c r="D83" s="6">
        <v>8698879</v>
      </c>
      <c r="E83" s="6">
        <v>260966.37</v>
      </c>
      <c r="F83" s="51" t="str">
        <f>VLOOKUP(B83,'State Abbreviations'!$A$2:$B$52,2,0)</f>
        <v>NJ</v>
      </c>
      <c r="G83" s="48">
        <f>IFERROR(VLOOKUP(A83,'State Income (2001-2004)'!$A:$D,4,0),"NO INCOME DATA")</f>
        <v>39453</v>
      </c>
    </row>
    <row r="84" spans="1:7" x14ac:dyDescent="0.25">
      <c r="A84" t="str">
        <f t="shared" si="1"/>
        <v>New Mexico2002</v>
      </c>
      <c r="B84" s="2" t="s">
        <v>35</v>
      </c>
      <c r="C84" s="2">
        <v>2002</v>
      </c>
      <c r="D84" s="6">
        <v>1903289</v>
      </c>
      <c r="E84" s="6">
        <v>76131.56</v>
      </c>
      <c r="F84" s="51" t="str">
        <f>VLOOKUP(B84,'State Abbreviations'!$A$2:$B$52,2,0)</f>
        <v>NM</v>
      </c>
      <c r="G84" s="48">
        <f>IFERROR(VLOOKUP(A84,'State Income (2001-2004)'!$A:$D,4,0),"NO INCOME DATA")</f>
        <v>23941</v>
      </c>
    </row>
    <row r="85" spans="1:7" x14ac:dyDescent="0.25">
      <c r="A85" t="str">
        <f t="shared" si="1"/>
        <v>New York2002</v>
      </c>
      <c r="B85" s="2" t="s">
        <v>36</v>
      </c>
      <c r="C85" s="2">
        <v>2002</v>
      </c>
      <c r="D85" s="6">
        <v>19227088</v>
      </c>
      <c r="E85" s="6">
        <v>576812.64</v>
      </c>
      <c r="F85" s="51" t="str">
        <f>VLOOKUP(B85,'State Abbreviations'!$A$2:$B$52,2,0)</f>
        <v>NY</v>
      </c>
      <c r="G85" s="48">
        <f>IFERROR(VLOOKUP(A85,'State Income (2001-2004)'!$A:$D,4,0),"NO INCOME DATA")</f>
        <v>36043</v>
      </c>
    </row>
    <row r="86" spans="1:7" x14ac:dyDescent="0.25">
      <c r="A86" t="str">
        <f t="shared" si="1"/>
        <v>North Carolina2002</v>
      </c>
      <c r="B86" s="2" t="s">
        <v>37</v>
      </c>
      <c r="C86" s="2">
        <v>2002</v>
      </c>
      <c r="D86" s="6">
        <v>8541221</v>
      </c>
      <c r="E86" s="6">
        <v>341648.84</v>
      </c>
      <c r="F86" s="51" t="str">
        <f>VLOOKUP(B86,'State Abbreviations'!$A$2:$B$52,2,0)</f>
        <v>NC</v>
      </c>
      <c r="G86" s="48">
        <f>IFERROR(VLOOKUP(A86,'State Income (2001-2004)'!$A:$D,4,0),"NO INCOME DATA")</f>
        <v>27711</v>
      </c>
    </row>
    <row r="87" spans="1:7" x14ac:dyDescent="0.25">
      <c r="A87" t="str">
        <f t="shared" si="1"/>
        <v>North Dakota2002</v>
      </c>
      <c r="B87" s="2" t="s">
        <v>38</v>
      </c>
      <c r="C87" s="2">
        <v>2002</v>
      </c>
      <c r="D87" s="6">
        <v>634366</v>
      </c>
      <c r="E87" s="6">
        <v>19030.98</v>
      </c>
      <c r="F87" s="51" t="str">
        <f>VLOOKUP(B87,'State Abbreviations'!$A$2:$B$52,2,0)</f>
        <v>ND</v>
      </c>
      <c r="G87" s="48">
        <f>IFERROR(VLOOKUP(A87,'State Income (2001-2004)'!$A:$D,4,0),"NO INCOME DATA")</f>
        <v>26982</v>
      </c>
    </row>
    <row r="88" spans="1:7" x14ac:dyDescent="0.25">
      <c r="A88" t="str">
        <f t="shared" si="1"/>
        <v>Ohio2002</v>
      </c>
      <c r="B88" s="2" t="s">
        <v>39</v>
      </c>
      <c r="C88" s="2">
        <v>2002</v>
      </c>
      <c r="D88" s="6">
        <v>11459011</v>
      </c>
      <c r="E88" s="6">
        <v>343770.33</v>
      </c>
      <c r="F88" s="51" t="str">
        <f>VLOOKUP(B88,'State Abbreviations'!$A$2:$B$52,2,0)</f>
        <v>OH</v>
      </c>
      <c r="G88" s="48">
        <f>IFERROR(VLOOKUP(A88,'State Income (2001-2004)'!$A:$D,4,0),"NO INCOME DATA")</f>
        <v>29405</v>
      </c>
    </row>
    <row r="89" spans="1:7" x14ac:dyDescent="0.25">
      <c r="A89" t="str">
        <f t="shared" si="1"/>
        <v>Oklahoma2002</v>
      </c>
      <c r="B89" s="2" t="s">
        <v>40</v>
      </c>
      <c r="C89" s="2">
        <v>2002</v>
      </c>
      <c r="D89" s="6">
        <v>3523553</v>
      </c>
      <c r="E89" s="6">
        <v>140942.12</v>
      </c>
      <c r="F89" s="51" t="str">
        <f>VLOOKUP(B89,'State Abbreviations'!$A$2:$B$52,2,0)</f>
        <v>OK</v>
      </c>
      <c r="G89" s="48">
        <f>IFERROR(VLOOKUP(A89,'State Income (2001-2004)'!$A:$D,4,0),"NO INCOME DATA")</f>
        <v>25575</v>
      </c>
    </row>
    <row r="90" spans="1:7" x14ac:dyDescent="0.25">
      <c r="A90" t="str">
        <f t="shared" si="1"/>
        <v>Oregon2002</v>
      </c>
      <c r="B90" s="2" t="s">
        <v>41</v>
      </c>
      <c r="C90" s="2">
        <v>2002</v>
      </c>
      <c r="D90" s="6">
        <v>3594586</v>
      </c>
      <c r="E90" s="6">
        <v>143783.44</v>
      </c>
      <c r="F90" s="51" t="str">
        <f>VLOOKUP(B90,'State Abbreviations'!$A$2:$B$52,2,0)</f>
        <v>OR</v>
      </c>
      <c r="G90" s="48">
        <f>IFERROR(VLOOKUP(A90,'State Income (2001-2004)'!$A:$D,4,0),"NO INCOME DATA")</f>
        <v>28731</v>
      </c>
    </row>
    <row r="91" spans="1:7" x14ac:dyDescent="0.25">
      <c r="A91" t="str">
        <f t="shared" si="1"/>
        <v>Pennsylvania2002</v>
      </c>
      <c r="B91" s="2" t="s">
        <v>42</v>
      </c>
      <c r="C91" s="2">
        <v>2002</v>
      </c>
      <c r="D91" s="6">
        <v>12406292</v>
      </c>
      <c r="E91" s="6">
        <v>496251.68</v>
      </c>
      <c r="F91" s="51" t="str">
        <f>VLOOKUP(B91,'State Abbreviations'!$A$2:$B$52,2,0)</f>
        <v>PA</v>
      </c>
      <c r="G91" s="48">
        <f>IFERROR(VLOOKUP(A91,'State Income (2001-2004)'!$A:$D,4,0),"NO INCOME DATA")</f>
        <v>31727</v>
      </c>
    </row>
    <row r="92" spans="1:7" x14ac:dyDescent="0.25">
      <c r="A92" t="str">
        <f t="shared" si="1"/>
        <v>Rhode Island2002</v>
      </c>
      <c r="B92" s="2" t="s">
        <v>43</v>
      </c>
      <c r="C92" s="2">
        <v>2002</v>
      </c>
      <c r="D92" s="6">
        <v>1080632</v>
      </c>
      <c r="E92" s="6">
        <v>43225.279999999999</v>
      </c>
      <c r="F92" s="51" t="str">
        <f>VLOOKUP(B92,'State Abbreviations'!$A$2:$B$52,2,0)</f>
        <v>RI</v>
      </c>
      <c r="G92" s="48">
        <f>IFERROR(VLOOKUP(A92,'State Income (2001-2004)'!$A:$D,4,0),"NO INCOME DATA")</f>
        <v>31319</v>
      </c>
    </row>
    <row r="93" spans="1:7" x14ac:dyDescent="0.25">
      <c r="A93" t="str">
        <f t="shared" si="1"/>
        <v>South Carolina2002</v>
      </c>
      <c r="B93" s="2" t="s">
        <v>44</v>
      </c>
      <c r="C93" s="2">
        <v>2002</v>
      </c>
      <c r="D93" s="6">
        <v>4198068</v>
      </c>
      <c r="E93" s="6">
        <v>83961.36</v>
      </c>
      <c r="F93" s="51" t="str">
        <f>VLOOKUP(B93,'State Abbreviations'!$A$2:$B$52,2,0)</f>
        <v>SC</v>
      </c>
      <c r="G93" s="48">
        <f>IFERROR(VLOOKUP(A93,'State Income (2001-2004)'!$A:$D,4,0),"NO INCOME DATA")</f>
        <v>25400</v>
      </c>
    </row>
    <row r="94" spans="1:7" x14ac:dyDescent="0.25">
      <c r="A94" t="str">
        <f t="shared" si="1"/>
        <v>South Dakota2002</v>
      </c>
      <c r="B94" s="2" t="s">
        <v>45</v>
      </c>
      <c r="C94" s="2">
        <v>2002</v>
      </c>
      <c r="D94" s="6">
        <v>770883</v>
      </c>
      <c r="E94" s="6">
        <v>23126.489999999998</v>
      </c>
      <c r="F94" s="51" t="str">
        <f>VLOOKUP(B94,'State Abbreviations'!$A$2:$B$52,2,0)</f>
        <v>SD</v>
      </c>
      <c r="G94" s="48">
        <f>IFERROR(VLOOKUP(A94,'State Income (2001-2004)'!$A:$D,4,0),"NO INCOME DATA")</f>
        <v>26894</v>
      </c>
    </row>
    <row r="95" spans="1:7" x14ac:dyDescent="0.25">
      <c r="A95" t="str">
        <f t="shared" si="1"/>
        <v>Tennessee2002</v>
      </c>
      <c r="B95" s="2" t="s">
        <v>46</v>
      </c>
      <c r="C95" s="2">
        <v>2002</v>
      </c>
      <c r="D95" s="6">
        <v>5900962</v>
      </c>
      <c r="E95" s="6">
        <v>118019.24</v>
      </c>
      <c r="F95" s="51" t="str">
        <f>VLOOKUP(B95,'State Abbreviations'!$A$2:$B$52,2,0)</f>
        <v>TN</v>
      </c>
      <c r="G95" s="48">
        <f>IFERROR(VLOOKUP(A95,'State Income (2001-2004)'!$A:$D,4,0),"NO INCOME DATA")</f>
        <v>27671</v>
      </c>
    </row>
    <row r="96" spans="1:7" x14ac:dyDescent="0.25">
      <c r="A96" t="str">
        <f t="shared" si="1"/>
        <v>Texas2002</v>
      </c>
      <c r="B96" s="2" t="s">
        <v>47</v>
      </c>
      <c r="C96" s="2">
        <v>2002</v>
      </c>
      <c r="D96" s="6">
        <v>23764231</v>
      </c>
      <c r="E96" s="6">
        <v>950569.24</v>
      </c>
      <c r="F96" s="51" t="str">
        <f>VLOOKUP(B96,'State Abbreviations'!$A$2:$B$52,2,0)</f>
        <v>TX</v>
      </c>
      <c r="G96" s="48">
        <f>IFERROR(VLOOKUP(A96,'State Income (2001-2004)'!$A:$D,4,0),"NO INCOME DATA")</f>
        <v>28551</v>
      </c>
    </row>
    <row r="97" spans="1:7" x14ac:dyDescent="0.25">
      <c r="A97" t="str">
        <f t="shared" si="1"/>
        <v>Utah2002</v>
      </c>
      <c r="B97" s="2" t="s">
        <v>48</v>
      </c>
      <c r="C97" s="2">
        <v>2002</v>
      </c>
      <c r="D97" s="6">
        <v>2389039</v>
      </c>
      <c r="E97" s="6">
        <v>47780.78</v>
      </c>
      <c r="F97" s="51" t="str">
        <f>VLOOKUP(B97,'State Abbreviations'!$A$2:$B$52,2,0)</f>
        <v>UT</v>
      </c>
      <c r="G97" s="48">
        <f>IFERROR(VLOOKUP(A97,'State Income (2001-2004)'!$A:$D,4,0),"NO INCOME DATA")</f>
        <v>24306</v>
      </c>
    </row>
    <row r="98" spans="1:7" x14ac:dyDescent="0.25">
      <c r="A98" t="str">
        <f t="shared" si="1"/>
        <v>Vermont2002</v>
      </c>
      <c r="B98" s="2" t="s">
        <v>49</v>
      </c>
      <c r="C98" s="2">
        <v>2002</v>
      </c>
      <c r="D98" s="6">
        <v>621394</v>
      </c>
      <c r="E98" s="6">
        <v>12427.880000000001</v>
      </c>
      <c r="F98" s="51" t="str">
        <f>VLOOKUP(B98,'State Abbreviations'!$A$2:$B$52,2,0)</f>
        <v>VT</v>
      </c>
      <c r="G98" s="48">
        <f>IFERROR(VLOOKUP(A98,'State Income (2001-2004)'!$A:$D,4,0),"NO INCOME DATA")</f>
        <v>29567</v>
      </c>
    </row>
    <row r="99" spans="1:7" x14ac:dyDescent="0.25">
      <c r="A99" t="str">
        <f t="shared" si="1"/>
        <v>Virginia2002</v>
      </c>
      <c r="B99" s="2" t="s">
        <v>50</v>
      </c>
      <c r="C99" s="2">
        <v>2002</v>
      </c>
      <c r="D99" s="6">
        <v>7459827</v>
      </c>
      <c r="E99" s="6">
        <v>298393.08</v>
      </c>
      <c r="F99" s="51" t="str">
        <f>VLOOKUP(B99,'State Abbreviations'!$A$2:$B$52,2,0)</f>
        <v>VA</v>
      </c>
      <c r="G99" s="48">
        <f>IFERROR(VLOOKUP(A99,'State Income (2001-2004)'!$A:$D,4,0),"NO INCOME DATA")</f>
        <v>32922</v>
      </c>
    </row>
    <row r="100" spans="1:7" x14ac:dyDescent="0.25">
      <c r="A100" t="str">
        <f t="shared" si="1"/>
        <v>Washington2002</v>
      </c>
      <c r="B100" s="2" t="s">
        <v>51</v>
      </c>
      <c r="C100" s="2">
        <v>2002</v>
      </c>
      <c r="D100" s="6">
        <v>6203788</v>
      </c>
      <c r="E100" s="6">
        <v>124075.76000000001</v>
      </c>
      <c r="F100" s="51" t="str">
        <f>VLOOKUP(B100,'State Abbreviations'!$A$2:$B$52,2,0)</f>
        <v>WA</v>
      </c>
      <c r="G100" s="48">
        <f>IFERROR(VLOOKUP(A100,'State Income (2001-2004)'!$A:$D,4,0),"NO INCOME DATA")</f>
        <v>32677</v>
      </c>
    </row>
    <row r="101" spans="1:7" x14ac:dyDescent="0.25">
      <c r="A101" t="str">
        <f t="shared" si="1"/>
        <v>West Virginia2002</v>
      </c>
      <c r="B101" s="2" t="s">
        <v>52</v>
      </c>
      <c r="C101" s="2">
        <v>2002</v>
      </c>
      <c r="D101" s="6">
        <v>1815354</v>
      </c>
      <c r="E101" s="6">
        <v>36307.08</v>
      </c>
      <c r="F101" s="51" t="str">
        <f>VLOOKUP(B101,'State Abbreviations'!$A$2:$B$52,2,0)</f>
        <v>WV</v>
      </c>
      <c r="G101" s="48">
        <f>IFERROR(VLOOKUP(A101,'State Income (2001-2004)'!$A:$D,4,0),"NO INCOME DATA")</f>
        <v>23688</v>
      </c>
    </row>
    <row r="102" spans="1:7" x14ac:dyDescent="0.25">
      <c r="A102" t="str">
        <f t="shared" si="1"/>
        <v>Wisconsin2002</v>
      </c>
      <c r="B102" s="2" t="s">
        <v>53</v>
      </c>
      <c r="C102" s="2">
        <v>2002</v>
      </c>
      <c r="D102" s="6">
        <v>5509026</v>
      </c>
      <c r="E102" s="6">
        <v>220361.04</v>
      </c>
      <c r="F102" s="51" t="str">
        <f>VLOOKUP(B102,'State Abbreviations'!$A$2:$B$52,2,0)</f>
        <v>WI</v>
      </c>
      <c r="G102" s="48">
        <f>IFERROR(VLOOKUP(A102,'State Income (2001-2004)'!$A:$D,4,0),"NO INCOME DATA")</f>
        <v>29923</v>
      </c>
    </row>
    <row r="103" spans="1:7" x14ac:dyDescent="0.25">
      <c r="A103" t="str">
        <f t="shared" si="1"/>
        <v>Wyoming2002</v>
      </c>
      <c r="B103" s="2" t="s">
        <v>54</v>
      </c>
      <c r="C103" s="2">
        <v>2002</v>
      </c>
      <c r="D103" s="6">
        <v>506529</v>
      </c>
      <c r="E103" s="6">
        <v>15195.869999999999</v>
      </c>
      <c r="F103" s="51" t="str">
        <f>VLOOKUP(B103,'State Abbreviations'!$A$2:$B$52,2,0)</f>
        <v>WY</v>
      </c>
      <c r="G103" s="48">
        <f>IFERROR(VLOOKUP(A103,'State Income (2001-2004)'!$A:$D,4,0),"NO INCOME DATA")</f>
        <v>30578</v>
      </c>
    </row>
    <row r="104" spans="1:7" x14ac:dyDescent="0.25">
      <c r="A104" t="str">
        <f t="shared" si="1"/>
        <v>Alabama2003</v>
      </c>
      <c r="B104" s="2" t="s">
        <v>4</v>
      </c>
      <c r="C104" s="2">
        <v>2003</v>
      </c>
      <c r="D104" s="6">
        <v>4779735</v>
      </c>
      <c r="E104" s="6">
        <v>143392.04999999999</v>
      </c>
      <c r="F104" s="51" t="str">
        <f>VLOOKUP(B104,'State Abbreviations'!$A$2:$B$52,2,0)</f>
        <v>AL</v>
      </c>
      <c r="G104" s="48">
        <f>IFERROR(VLOOKUP(A104,'State Income (2001-2004)'!$A:$D,4,0),"NO INCOME DATA")</f>
        <v>26338</v>
      </c>
    </row>
    <row r="105" spans="1:7" x14ac:dyDescent="0.25">
      <c r="A105" t="str">
        <f t="shared" si="1"/>
        <v>Alaska2003</v>
      </c>
      <c r="B105" s="2" t="s">
        <v>5</v>
      </c>
      <c r="C105" s="2">
        <v>2003</v>
      </c>
      <c r="D105" s="6">
        <v>710231</v>
      </c>
      <c r="E105" s="6">
        <v>14204.62</v>
      </c>
      <c r="F105" s="51" t="str">
        <f>VLOOKUP(B105,'State Abbreviations'!$A$2:$B$52,2,0)</f>
        <v>AK</v>
      </c>
      <c r="G105" s="48">
        <f>IFERROR(VLOOKUP(A105,'State Income (2001-2004)'!$A:$D,4,0),"NO INCOME DATA")</f>
        <v>33568</v>
      </c>
    </row>
    <row r="106" spans="1:7" x14ac:dyDescent="0.25">
      <c r="A106" t="str">
        <f t="shared" si="1"/>
        <v>Arizona2003</v>
      </c>
      <c r="B106" s="2" t="s">
        <v>6</v>
      </c>
      <c r="C106" s="2">
        <v>2003</v>
      </c>
      <c r="D106" s="6">
        <v>6329013</v>
      </c>
      <c r="E106" s="6">
        <v>126580.26000000001</v>
      </c>
      <c r="F106" s="51" t="str">
        <f>VLOOKUP(B106,'State Abbreviations'!$A$2:$B$52,2,0)</f>
        <v>AZ</v>
      </c>
      <c r="G106" s="48">
        <f>IFERROR(VLOOKUP(A106,'State Income (2001-2004)'!$A:$D,4,0),"NO INCOME DATA")</f>
        <v>26838</v>
      </c>
    </row>
    <row r="107" spans="1:7" x14ac:dyDescent="0.25">
      <c r="A107" t="str">
        <f t="shared" si="1"/>
        <v>Arkansas2003</v>
      </c>
      <c r="B107" s="2" t="s">
        <v>7</v>
      </c>
      <c r="C107" s="2">
        <v>2003</v>
      </c>
      <c r="D107" s="6">
        <v>2915921</v>
      </c>
      <c r="E107" s="6">
        <v>58318.42</v>
      </c>
      <c r="F107" s="51" t="str">
        <f>VLOOKUP(B107,'State Abbreviations'!$A$2:$B$52,2,0)</f>
        <v>AR</v>
      </c>
      <c r="G107" s="48">
        <f>IFERROR(VLOOKUP(A107,'State Income (2001-2004)'!$A:$D,4,0),"NO INCOME DATA")</f>
        <v>24289</v>
      </c>
    </row>
    <row r="108" spans="1:7" x14ac:dyDescent="0.25">
      <c r="A108" t="str">
        <f t="shared" si="1"/>
        <v>California2003</v>
      </c>
      <c r="B108" s="2" t="s">
        <v>8</v>
      </c>
      <c r="C108" s="2">
        <v>2003</v>
      </c>
      <c r="D108" s="6">
        <v>37253956</v>
      </c>
      <c r="E108" s="6">
        <v>745079.12</v>
      </c>
      <c r="F108" s="51" t="str">
        <f>VLOOKUP(B108,'State Abbreviations'!$A$2:$B$52,2,0)</f>
        <v>CA</v>
      </c>
      <c r="G108" s="48">
        <f>IFERROR(VLOOKUP(A108,'State Income (2001-2004)'!$A:$D,4,0),"NO INCOME DATA")</f>
        <v>33749</v>
      </c>
    </row>
    <row r="109" spans="1:7" x14ac:dyDescent="0.25">
      <c r="A109" t="str">
        <f t="shared" si="1"/>
        <v>Colorado2003</v>
      </c>
      <c r="B109" s="2" t="s">
        <v>9</v>
      </c>
      <c r="C109" s="2">
        <v>2003</v>
      </c>
      <c r="D109" s="6">
        <v>5029196</v>
      </c>
      <c r="E109" s="6">
        <v>201167.84</v>
      </c>
      <c r="F109" s="51" t="str">
        <f>VLOOKUP(B109,'State Abbreviations'!$A$2:$B$52,2,0)</f>
        <v>CO</v>
      </c>
      <c r="G109" s="48">
        <f>IFERROR(VLOOKUP(A109,'State Income (2001-2004)'!$A:$D,4,0),"NO INCOME DATA")</f>
        <v>34283</v>
      </c>
    </row>
    <row r="110" spans="1:7" x14ac:dyDescent="0.25">
      <c r="A110" t="str">
        <f t="shared" si="1"/>
        <v>Connecticut2003</v>
      </c>
      <c r="B110" s="2" t="s">
        <v>10</v>
      </c>
      <c r="C110" s="2">
        <v>2003</v>
      </c>
      <c r="D110" s="6">
        <v>3574097</v>
      </c>
      <c r="E110" s="6">
        <v>142963.88</v>
      </c>
      <c r="F110" s="51" t="str">
        <f>VLOOKUP(B110,'State Abbreviations'!$A$2:$B$52,2,0)</f>
        <v>CT</v>
      </c>
      <c r="G110" s="48">
        <f>IFERROR(VLOOKUP(A110,'State Income (2001-2004)'!$A:$D,4,0),"NO INCOME DATA")</f>
        <v>43173</v>
      </c>
    </row>
    <row r="111" spans="1:7" x14ac:dyDescent="0.25">
      <c r="A111" t="str">
        <f t="shared" si="1"/>
        <v>D.C.2003</v>
      </c>
      <c r="B111" s="2" t="s">
        <v>11</v>
      </c>
      <c r="C111" s="2">
        <v>2003</v>
      </c>
      <c r="D111" s="6">
        <v>897934</v>
      </c>
      <c r="E111" s="6">
        <v>26938.02</v>
      </c>
      <c r="F111" s="51" t="str">
        <f>VLOOKUP(B111,'State Abbreviations'!$A$2:$B$52,2,0)</f>
        <v>DC</v>
      </c>
      <c r="G111" s="48" t="str">
        <f>IFERROR(VLOOKUP(A111,'State Income (2001-2004)'!$A:$D,4,0),"NO INCOME DATA")</f>
        <v>NO INCOME DATA</v>
      </c>
    </row>
    <row r="112" spans="1:7" x14ac:dyDescent="0.25">
      <c r="A112" t="str">
        <f t="shared" si="1"/>
        <v>Delaware2003</v>
      </c>
      <c r="B112" s="2" t="s">
        <v>12</v>
      </c>
      <c r="C112" s="2">
        <v>2003</v>
      </c>
      <c r="D112" s="6">
        <v>601723</v>
      </c>
      <c r="E112" s="6">
        <v>18051.689999999999</v>
      </c>
      <c r="F112" s="51" t="str">
        <f>VLOOKUP(B112,'State Abbreviations'!$A$2:$B$52,2,0)</f>
        <v>DE</v>
      </c>
      <c r="G112" s="48">
        <f>IFERROR(VLOOKUP(A112,'State Income (2001-2004)'!$A:$D,4,0),"NO INCOME DATA")</f>
        <v>48342</v>
      </c>
    </row>
    <row r="113" spans="1:7" x14ac:dyDescent="0.25">
      <c r="A113" t="str">
        <f t="shared" si="1"/>
        <v>Florida2003</v>
      </c>
      <c r="B113" s="2" t="s">
        <v>13</v>
      </c>
      <c r="C113" s="2">
        <v>2003</v>
      </c>
      <c r="D113" s="6">
        <v>18801311</v>
      </c>
      <c r="E113" s="6">
        <v>752052.44000000006</v>
      </c>
      <c r="F113" s="51" t="str">
        <f>VLOOKUP(B113,'State Abbreviations'!$A$2:$B$52,2,0)</f>
        <v>FL</v>
      </c>
      <c r="G113" s="48">
        <f>IFERROR(VLOOKUP(A113,'State Income (2001-2004)'!$A:$D,4,0),"NO INCOME DATA")</f>
        <v>30446</v>
      </c>
    </row>
    <row r="114" spans="1:7" x14ac:dyDescent="0.25">
      <c r="A114" t="str">
        <f t="shared" si="1"/>
        <v>Georgia2003</v>
      </c>
      <c r="B114" s="2" t="s">
        <v>14</v>
      </c>
      <c r="C114" s="2">
        <v>2003</v>
      </c>
      <c r="D114" s="6">
        <v>9687653</v>
      </c>
      <c r="E114" s="6">
        <v>193753.06</v>
      </c>
      <c r="F114" s="51" t="str">
        <f>VLOOKUP(B114,'State Abbreviations'!$A$2:$B$52,2,0)</f>
        <v>GA</v>
      </c>
      <c r="G114" s="48">
        <f>IFERROR(VLOOKUP(A114,'State Income (2001-2004)'!$A:$D,4,0),"NO INCOME DATA")</f>
        <v>29442</v>
      </c>
    </row>
    <row r="115" spans="1:7" x14ac:dyDescent="0.25">
      <c r="A115" t="str">
        <f t="shared" si="1"/>
        <v>Hawaii2003</v>
      </c>
      <c r="B115" s="2" t="s">
        <v>15</v>
      </c>
      <c r="C115" s="2">
        <v>2003</v>
      </c>
      <c r="D115" s="6">
        <v>1360301</v>
      </c>
      <c r="E115" s="6">
        <v>54412.04</v>
      </c>
      <c r="F115" s="51" t="str">
        <f>VLOOKUP(B115,'State Abbreviations'!$A$2:$B$52,2,0)</f>
        <v>HI</v>
      </c>
      <c r="G115" s="48">
        <f>IFERROR(VLOOKUP(A115,'State Income (2001-2004)'!$A:$D,4,0),"NO INCOME DATA")</f>
        <v>30913</v>
      </c>
    </row>
    <row r="116" spans="1:7" x14ac:dyDescent="0.25">
      <c r="A116" t="str">
        <f t="shared" si="1"/>
        <v>Idaho2003</v>
      </c>
      <c r="B116" s="2" t="s">
        <v>16</v>
      </c>
      <c r="C116" s="2">
        <v>2003</v>
      </c>
      <c r="D116" s="6">
        <v>1567582</v>
      </c>
      <c r="E116" s="6">
        <v>47027.46</v>
      </c>
      <c r="F116" s="51" t="str">
        <f>VLOOKUP(B116,'State Abbreviations'!$A$2:$B$52,2,0)</f>
        <v>ID</v>
      </c>
      <c r="G116" s="48" t="str">
        <f>IFERROR(VLOOKUP(A116,'State Income (2001-2004)'!$A:$D,4,0),"NO INCOME DATA")</f>
        <v>NO INCOME DATA</v>
      </c>
    </row>
    <row r="117" spans="1:7" x14ac:dyDescent="0.25">
      <c r="A117" t="str">
        <f t="shared" si="1"/>
        <v>Illinois2003</v>
      </c>
      <c r="B117" s="2" t="s">
        <v>17</v>
      </c>
      <c r="C117" s="2">
        <v>2003</v>
      </c>
      <c r="D117" s="6">
        <v>12830632</v>
      </c>
      <c r="E117" s="6">
        <v>256612.64</v>
      </c>
      <c r="F117" s="51" t="str">
        <f>VLOOKUP(B117,'State Abbreviations'!$A$2:$B$52,2,0)</f>
        <v>IL</v>
      </c>
      <c r="G117" s="48" t="str">
        <f>IFERROR(VLOOKUP(A117,'State Income (2001-2004)'!$A:$D,4,0),"NO INCOME DATA")</f>
        <v>NO INCOME DATA</v>
      </c>
    </row>
    <row r="118" spans="1:7" x14ac:dyDescent="0.25">
      <c r="A118" t="str">
        <f t="shared" si="1"/>
        <v>Indiana2003</v>
      </c>
      <c r="B118" s="2" t="s">
        <v>18</v>
      </c>
      <c r="C118" s="2">
        <v>2003</v>
      </c>
      <c r="D118" s="6">
        <v>6483800</v>
      </c>
      <c r="E118" s="6">
        <v>259352</v>
      </c>
      <c r="F118" s="51" t="str">
        <f>VLOOKUP(B118,'State Abbreviations'!$A$2:$B$52,2,0)</f>
        <v>IN</v>
      </c>
      <c r="G118" s="48">
        <f>IFERROR(VLOOKUP(A118,'State Income (2001-2004)'!$A:$D,4,0),"NO INCOME DATA")</f>
        <v>28783</v>
      </c>
    </row>
    <row r="119" spans="1:7" x14ac:dyDescent="0.25">
      <c r="A119" t="str">
        <f t="shared" si="1"/>
        <v>Iowa2003</v>
      </c>
      <c r="B119" s="2" t="s">
        <v>19</v>
      </c>
      <c r="C119" s="2">
        <v>2003</v>
      </c>
      <c r="D119" s="6">
        <v>3046350</v>
      </c>
      <c r="E119" s="6">
        <v>60927</v>
      </c>
      <c r="F119" s="51" t="str">
        <f>VLOOKUP(B119,'State Abbreviations'!$A$2:$B$52,2,0)</f>
        <v>IA</v>
      </c>
      <c r="G119" s="48">
        <f>IFERROR(VLOOKUP(A119,'State Income (2001-2004)'!$A:$D,4,0),"NO INCOME DATA")</f>
        <v>29043</v>
      </c>
    </row>
    <row r="120" spans="1:7" x14ac:dyDescent="0.25">
      <c r="A120" t="str">
        <f t="shared" si="1"/>
        <v>Kansas2003</v>
      </c>
      <c r="B120" s="2" t="s">
        <v>20</v>
      </c>
      <c r="C120" s="2">
        <v>2003</v>
      </c>
      <c r="D120" s="6">
        <v>2853118</v>
      </c>
      <c r="E120" s="6">
        <v>85593.54</v>
      </c>
      <c r="F120" s="51" t="str">
        <f>VLOOKUP(B120,'State Abbreviations'!$A$2:$B$52,2,0)</f>
        <v>KS</v>
      </c>
      <c r="G120" s="48">
        <f>IFERROR(VLOOKUP(A120,'State Income (2001-2004)'!$A:$D,4,0),"NO INCOME DATA")</f>
        <v>29935</v>
      </c>
    </row>
    <row r="121" spans="1:7" x14ac:dyDescent="0.25">
      <c r="A121" t="str">
        <f t="shared" si="1"/>
        <v>Kentucky2003</v>
      </c>
      <c r="B121" s="2" t="s">
        <v>21</v>
      </c>
      <c r="C121" s="2">
        <v>2003</v>
      </c>
      <c r="D121" s="6">
        <v>4339362</v>
      </c>
      <c r="E121" s="6">
        <v>130180.86</v>
      </c>
      <c r="F121" s="51" t="str">
        <f>VLOOKUP(B121,'State Abbreviations'!$A$2:$B$52,2,0)</f>
        <v>KY</v>
      </c>
      <c r="G121" s="48">
        <f>IFERROR(VLOOKUP(A121,'State Income (2001-2004)'!$A:$D,4,0),"NO INCOME DATA")</f>
        <v>26252</v>
      </c>
    </row>
    <row r="122" spans="1:7" x14ac:dyDescent="0.25">
      <c r="A122" t="str">
        <f t="shared" si="1"/>
        <v>Louisiana2003</v>
      </c>
      <c r="B122" s="2" t="s">
        <v>22</v>
      </c>
      <c r="C122" s="2">
        <v>2003</v>
      </c>
      <c r="D122" s="6">
        <v>4533372</v>
      </c>
      <c r="E122" s="6">
        <v>136001.16</v>
      </c>
      <c r="F122" s="51" t="str">
        <f>VLOOKUP(B122,'State Abbreviations'!$A$2:$B$52,2,0)</f>
        <v>LA</v>
      </c>
      <c r="G122" s="48">
        <f>IFERROR(VLOOKUP(A122,'State Income (2001-2004)'!$A:$D,4,0),"NO INCOME DATA")</f>
        <v>26100</v>
      </c>
    </row>
    <row r="123" spans="1:7" x14ac:dyDescent="0.25">
      <c r="A123" t="str">
        <f t="shared" si="1"/>
        <v>Maine2003</v>
      </c>
      <c r="B123" s="2" t="s">
        <v>23</v>
      </c>
      <c r="C123" s="2">
        <v>2003</v>
      </c>
      <c r="D123" s="6">
        <v>1328361</v>
      </c>
      <c r="E123" s="6">
        <v>26567.22</v>
      </c>
      <c r="F123" s="51" t="str">
        <f>VLOOKUP(B123,'State Abbreviations'!$A$2:$B$52,2,0)</f>
        <v>ME</v>
      </c>
      <c r="G123" s="48">
        <f>IFERROR(VLOOKUP(A123,'State Income (2001-2004)'!$A:$D,4,0),"NO INCOME DATA")</f>
        <v>28831</v>
      </c>
    </row>
    <row r="124" spans="1:7" x14ac:dyDescent="0.25">
      <c r="A124" t="str">
        <f t="shared" si="1"/>
        <v>Maryland2003</v>
      </c>
      <c r="B124" s="2" t="s">
        <v>24</v>
      </c>
      <c r="C124" s="2">
        <v>2003</v>
      </c>
      <c r="D124" s="6">
        <v>5773552</v>
      </c>
      <c r="E124" s="6">
        <v>230942.08000000002</v>
      </c>
      <c r="F124" s="51" t="str">
        <f>VLOOKUP(B124,'State Abbreviations'!$A$2:$B$52,2,0)</f>
        <v>MD</v>
      </c>
      <c r="G124" s="48">
        <f>IFERROR(VLOOKUP(A124,'State Income (2001-2004)'!$A:$D,4,0),"NO INCOME DATA")</f>
        <v>37331</v>
      </c>
    </row>
    <row r="125" spans="1:7" x14ac:dyDescent="0.25">
      <c r="A125" t="str">
        <f t="shared" si="1"/>
        <v>Massachusetts2003</v>
      </c>
      <c r="B125" s="2" t="s">
        <v>25</v>
      </c>
      <c r="C125" s="2">
        <v>2003</v>
      </c>
      <c r="D125" s="6">
        <v>6547629</v>
      </c>
      <c r="E125" s="6">
        <v>130952.58</v>
      </c>
      <c r="F125" s="51" t="str">
        <f>VLOOKUP(B125,'State Abbreviations'!$A$2:$B$52,2,0)</f>
        <v>MA</v>
      </c>
      <c r="G125" s="48">
        <f>IFERROR(VLOOKUP(A125,'State Income (2001-2004)'!$A:$D,4,0),"NO INCOME DATA")</f>
        <v>39815</v>
      </c>
    </row>
    <row r="126" spans="1:7" x14ac:dyDescent="0.25">
      <c r="A126" t="str">
        <f t="shared" si="1"/>
        <v>Michigan2003</v>
      </c>
      <c r="B126" s="2" t="s">
        <v>26</v>
      </c>
      <c r="C126" s="2">
        <v>2003</v>
      </c>
      <c r="D126" s="6">
        <v>9883635</v>
      </c>
      <c r="E126" s="6">
        <v>197672.7</v>
      </c>
      <c r="F126" s="51" t="str">
        <f>VLOOKUP(B126,'State Abbreviations'!$A$2:$B$52,2,0)</f>
        <v>MI</v>
      </c>
      <c r="G126" s="48">
        <f>IFERROR(VLOOKUP(A126,'State Income (2001-2004)'!$A:$D,4,0),"NO INCOME DATA")</f>
        <v>30439</v>
      </c>
    </row>
    <row r="127" spans="1:7" x14ac:dyDescent="0.25">
      <c r="A127" t="str">
        <f t="shared" si="1"/>
        <v>Minnesota2003</v>
      </c>
      <c r="B127" s="2" t="s">
        <v>27</v>
      </c>
      <c r="C127" s="2">
        <v>2003</v>
      </c>
      <c r="D127" s="6">
        <v>5303925</v>
      </c>
      <c r="E127" s="6">
        <v>106078.5</v>
      </c>
      <c r="F127" s="51" t="str">
        <f>VLOOKUP(B127,'State Abbreviations'!$A$2:$B$52,2,0)</f>
        <v>MN</v>
      </c>
      <c r="G127" s="48">
        <f>IFERROR(VLOOKUP(A127,'State Income (2001-2004)'!$A:$D,4,0),"NO INCOME DATA")</f>
        <v>34443</v>
      </c>
    </row>
    <row r="128" spans="1:7" x14ac:dyDescent="0.25">
      <c r="A128" t="str">
        <f t="shared" si="1"/>
        <v>Mississippi2003</v>
      </c>
      <c r="B128" s="2" t="s">
        <v>28</v>
      </c>
      <c r="C128" s="2">
        <v>2003</v>
      </c>
      <c r="D128" s="6">
        <v>2967297</v>
      </c>
      <c r="E128" s="6">
        <v>89018.91</v>
      </c>
      <c r="F128" s="51" t="str">
        <f>VLOOKUP(B128,'State Abbreviations'!$A$2:$B$52,2,0)</f>
        <v>MS</v>
      </c>
      <c r="G128" s="48">
        <f>IFERROR(VLOOKUP(A128,'State Income (2001-2004)'!$A:$D,4,0),"NO INCOME DATA")</f>
        <v>23448</v>
      </c>
    </row>
    <row r="129" spans="1:7" x14ac:dyDescent="0.25">
      <c r="A129" t="str">
        <f t="shared" si="1"/>
        <v>Missouri2003</v>
      </c>
      <c r="B129" s="2" t="s">
        <v>29</v>
      </c>
      <c r="C129" s="2">
        <v>2003</v>
      </c>
      <c r="D129" s="6">
        <v>5988927</v>
      </c>
      <c r="E129" s="6">
        <v>119778.54000000001</v>
      </c>
      <c r="F129" s="51" t="str">
        <f>VLOOKUP(B129,'State Abbreviations'!$A$2:$B$52,2,0)</f>
        <v>MO</v>
      </c>
      <c r="G129" s="48">
        <f>IFERROR(VLOOKUP(A129,'State Income (2001-2004)'!$A:$D,4,0),"NO INCOME DATA")</f>
        <v>29252</v>
      </c>
    </row>
    <row r="130" spans="1:7" x14ac:dyDescent="0.25">
      <c r="A130" t="str">
        <f t="shared" si="1"/>
        <v>Montana2003</v>
      </c>
      <c r="B130" s="2" t="s">
        <v>30</v>
      </c>
      <c r="C130" s="2">
        <v>2003</v>
      </c>
      <c r="D130" s="6">
        <v>989415</v>
      </c>
      <c r="E130" s="6">
        <v>29682.449999999997</v>
      </c>
      <c r="F130" s="51" t="str">
        <f>VLOOKUP(B130,'State Abbreviations'!$A$2:$B$52,2,0)</f>
        <v>MT</v>
      </c>
      <c r="G130" s="48">
        <f>IFERROR(VLOOKUP(A130,'State Income (2001-2004)'!$A:$D,4,0),"NO INCOME DATA")</f>
        <v>25920</v>
      </c>
    </row>
    <row r="131" spans="1:7" x14ac:dyDescent="0.25">
      <c r="A131" t="str">
        <f t="shared" ref="A131:A194" si="2">B131&amp;C131</f>
        <v>Nebraska2003</v>
      </c>
      <c r="B131" s="2" t="s">
        <v>31</v>
      </c>
      <c r="C131" s="2">
        <v>2003</v>
      </c>
      <c r="D131" s="6">
        <v>1826341</v>
      </c>
      <c r="E131" s="6">
        <v>36526.82</v>
      </c>
      <c r="F131" s="51" t="str">
        <f>VLOOKUP(B131,'State Abbreviations'!$A$2:$B$52,2,0)</f>
        <v>NE</v>
      </c>
      <c r="G131" s="48">
        <f>IFERROR(VLOOKUP(A131,'State Income (2001-2004)'!$A:$D,4,0),"NO INCOME DATA")</f>
        <v>30758</v>
      </c>
    </row>
    <row r="132" spans="1:7" x14ac:dyDescent="0.25">
      <c r="A132" t="str">
        <f t="shared" si="2"/>
        <v>Nevada2003</v>
      </c>
      <c r="B132" s="2" t="s">
        <v>32</v>
      </c>
      <c r="C132" s="2">
        <v>2003</v>
      </c>
      <c r="D132" s="6">
        <v>2700551</v>
      </c>
      <c r="E132" s="6">
        <v>81016.53</v>
      </c>
      <c r="F132" s="51" t="str">
        <f>VLOOKUP(B132,'State Abbreviations'!$A$2:$B$52,2,0)</f>
        <v>NV</v>
      </c>
      <c r="G132" s="48">
        <f>IFERROR(VLOOKUP(A132,'State Income (2001-2004)'!$A:$D,4,0),"NO INCOME DATA")</f>
        <v>31266</v>
      </c>
    </row>
    <row r="133" spans="1:7" x14ac:dyDescent="0.25">
      <c r="A133" t="str">
        <f t="shared" si="2"/>
        <v>New Hampshire2003</v>
      </c>
      <c r="B133" s="2" t="s">
        <v>33</v>
      </c>
      <c r="C133" s="2">
        <v>2003</v>
      </c>
      <c r="D133" s="6">
        <v>1316472</v>
      </c>
      <c r="E133" s="6">
        <v>26329.440000000002</v>
      </c>
      <c r="F133" s="51" t="str">
        <f>VLOOKUP(B133,'State Abbreviations'!$A$2:$B$52,2,0)</f>
        <v>NH</v>
      </c>
      <c r="G133" s="48">
        <f>IFERROR(VLOOKUP(A133,'State Income (2001-2004)'!$A:$D,4,0),"NO INCOME DATA")</f>
        <v>34702</v>
      </c>
    </row>
    <row r="134" spans="1:7" x14ac:dyDescent="0.25">
      <c r="A134" t="str">
        <f t="shared" si="2"/>
        <v>New Jersey2003</v>
      </c>
      <c r="B134" s="2" t="s">
        <v>34</v>
      </c>
      <c r="C134" s="2">
        <v>2003</v>
      </c>
      <c r="D134" s="6">
        <v>8791894</v>
      </c>
      <c r="E134" s="6">
        <v>263756.82</v>
      </c>
      <c r="F134" s="51" t="str">
        <f>VLOOKUP(B134,'State Abbreviations'!$A$2:$B$52,2,0)</f>
        <v>NJ</v>
      </c>
      <c r="G134" s="48">
        <f>IFERROR(VLOOKUP(A134,'State Income (2001-2004)'!$A:$D,4,0),"NO INCOME DATA")</f>
        <v>40427</v>
      </c>
    </row>
    <row r="135" spans="1:7" x14ac:dyDescent="0.25">
      <c r="A135" t="str">
        <f t="shared" si="2"/>
        <v>New Mexico2003</v>
      </c>
      <c r="B135" s="2" t="s">
        <v>35</v>
      </c>
      <c r="C135" s="2">
        <v>2003</v>
      </c>
      <c r="D135" s="6">
        <v>2059180</v>
      </c>
      <c r="E135" s="6">
        <v>61775.399999999994</v>
      </c>
      <c r="F135" s="51" t="str">
        <f>VLOOKUP(B135,'State Abbreviations'!$A$2:$B$52,2,0)</f>
        <v>NM</v>
      </c>
      <c r="G135" s="48">
        <f>IFERROR(VLOOKUP(A135,'State Income (2001-2004)'!$A:$D,4,0),"NO INCOME DATA")</f>
        <v>25541</v>
      </c>
    </row>
    <row r="136" spans="1:7" x14ac:dyDescent="0.25">
      <c r="A136" t="str">
        <f t="shared" si="2"/>
        <v>New York2003</v>
      </c>
      <c r="B136" s="2" t="s">
        <v>36</v>
      </c>
      <c r="C136" s="2">
        <v>2003</v>
      </c>
      <c r="D136" s="6">
        <v>19378104</v>
      </c>
      <c r="E136" s="6">
        <v>387562.08</v>
      </c>
      <c r="F136" s="51" t="str">
        <f>VLOOKUP(B136,'State Abbreviations'!$A$2:$B$52,2,0)</f>
        <v>NY</v>
      </c>
      <c r="G136" s="48">
        <f>IFERROR(VLOOKUP(A136,'State Income (2001-2004)'!$A:$D,4,0),"NO INCOME DATA")</f>
        <v>36574</v>
      </c>
    </row>
    <row r="137" spans="1:7" x14ac:dyDescent="0.25">
      <c r="A137" t="str">
        <f t="shared" si="2"/>
        <v>North Carolina2003</v>
      </c>
      <c r="B137" s="2" t="s">
        <v>37</v>
      </c>
      <c r="C137" s="2">
        <v>2003</v>
      </c>
      <c r="D137" s="6">
        <v>9535475</v>
      </c>
      <c r="E137" s="6">
        <v>190709.5</v>
      </c>
      <c r="F137" s="51" t="str">
        <f>VLOOKUP(B137,'State Abbreviations'!$A$2:$B$52,2,0)</f>
        <v>NC</v>
      </c>
      <c r="G137" s="48">
        <f>IFERROR(VLOOKUP(A137,'State Income (2001-2004)'!$A:$D,4,0),"NO INCOME DATA")</f>
        <v>28235</v>
      </c>
    </row>
    <row r="138" spans="1:7" x14ac:dyDescent="0.25">
      <c r="A138" t="str">
        <f t="shared" si="2"/>
        <v>North Dakota2003</v>
      </c>
      <c r="B138" s="2" t="s">
        <v>38</v>
      </c>
      <c r="C138" s="2">
        <v>2003</v>
      </c>
      <c r="D138" s="6">
        <v>672591</v>
      </c>
      <c r="E138" s="6">
        <v>20177.73</v>
      </c>
      <c r="F138" s="51" t="str">
        <f>VLOOKUP(B138,'State Abbreviations'!$A$2:$B$52,2,0)</f>
        <v>ND</v>
      </c>
      <c r="G138" s="48">
        <f>IFERROR(VLOOKUP(A138,'State Income (2001-2004)'!$A:$D,4,0),"NO INCOME DATA")</f>
        <v>29204</v>
      </c>
    </row>
    <row r="139" spans="1:7" x14ac:dyDescent="0.25">
      <c r="A139" t="str">
        <f t="shared" si="2"/>
        <v>Ohio2003</v>
      </c>
      <c r="B139" s="2" t="s">
        <v>39</v>
      </c>
      <c r="C139" s="2">
        <v>2003</v>
      </c>
      <c r="D139" s="6">
        <v>11536502</v>
      </c>
      <c r="E139" s="6">
        <v>346095.06</v>
      </c>
      <c r="F139" s="51" t="str">
        <f>VLOOKUP(B139,'State Abbreviations'!$A$2:$B$52,2,0)</f>
        <v>OH</v>
      </c>
      <c r="G139" s="48">
        <f>IFERROR(VLOOKUP(A139,'State Income (2001-2004)'!$A:$D,4,0),"NO INCOME DATA")</f>
        <v>29944</v>
      </c>
    </row>
    <row r="140" spans="1:7" x14ac:dyDescent="0.25">
      <c r="A140" t="str">
        <f t="shared" si="2"/>
        <v>Oklahoma2003</v>
      </c>
      <c r="B140" s="2" t="s">
        <v>40</v>
      </c>
      <c r="C140" s="2">
        <v>2003</v>
      </c>
      <c r="D140" s="6">
        <v>3751354</v>
      </c>
      <c r="E140" s="6">
        <v>112540.62</v>
      </c>
      <c r="F140" s="51" t="str">
        <f>VLOOKUP(B140,'State Abbreviations'!$A$2:$B$52,2,0)</f>
        <v>OK</v>
      </c>
      <c r="G140" s="48">
        <f>IFERROR(VLOOKUP(A140,'State Income (2001-2004)'!$A:$D,4,0),"NO INCOME DATA")</f>
        <v>26656</v>
      </c>
    </row>
    <row r="141" spans="1:7" x14ac:dyDescent="0.25">
      <c r="A141" t="str">
        <f t="shared" si="2"/>
        <v>Oregon2003</v>
      </c>
      <c r="B141" s="2" t="s">
        <v>41</v>
      </c>
      <c r="C141" s="2">
        <v>2003</v>
      </c>
      <c r="D141" s="6">
        <v>3831074</v>
      </c>
      <c r="E141" s="6">
        <v>114932.22</v>
      </c>
      <c r="F141" s="51" t="str">
        <f>VLOOKUP(B141,'State Abbreviations'!$A$2:$B$52,2,0)</f>
        <v>OR</v>
      </c>
      <c r="G141" s="48">
        <f>IFERROR(VLOOKUP(A141,'State Income (2001-2004)'!$A:$D,4,0),"NO INCOME DATA")</f>
        <v>29340</v>
      </c>
    </row>
    <row r="142" spans="1:7" x14ac:dyDescent="0.25">
      <c r="A142" t="str">
        <f t="shared" si="2"/>
        <v>Pennsylvania2003</v>
      </c>
      <c r="B142" s="2" t="s">
        <v>42</v>
      </c>
      <c r="C142" s="2">
        <v>2003</v>
      </c>
      <c r="D142" s="6">
        <v>12702379</v>
      </c>
      <c r="E142" s="6">
        <v>254047.58000000002</v>
      </c>
      <c r="F142" s="51" t="str">
        <f>VLOOKUP(B142,'State Abbreviations'!$A$2:$B$52,2,0)</f>
        <v>PA</v>
      </c>
      <c r="G142" s="48">
        <f>IFERROR(VLOOKUP(A142,'State Income (2001-2004)'!$A:$D,4,0),"NO INCOME DATA")</f>
        <v>31998</v>
      </c>
    </row>
    <row r="143" spans="1:7" x14ac:dyDescent="0.25">
      <c r="A143" t="str">
        <f t="shared" si="2"/>
        <v>Rhode Island2003</v>
      </c>
      <c r="B143" s="2" t="s">
        <v>43</v>
      </c>
      <c r="C143" s="2">
        <v>2003</v>
      </c>
      <c r="D143" s="6">
        <v>1052567</v>
      </c>
      <c r="E143" s="6">
        <v>42102.68</v>
      </c>
      <c r="F143" s="51" t="str">
        <f>VLOOKUP(B143,'State Abbreviations'!$A$2:$B$52,2,0)</f>
        <v>RI</v>
      </c>
      <c r="G143" s="48">
        <f>IFERROR(VLOOKUP(A143,'State Income (2001-2004)'!$A:$D,4,0),"NO INCOME DATA")</f>
        <v>31916</v>
      </c>
    </row>
    <row r="144" spans="1:7" x14ac:dyDescent="0.25">
      <c r="A144" t="str">
        <f t="shared" si="2"/>
        <v>South Carolina2003</v>
      </c>
      <c r="B144" s="2" t="s">
        <v>44</v>
      </c>
      <c r="C144" s="2">
        <v>2003</v>
      </c>
      <c r="D144" s="6">
        <v>4625364</v>
      </c>
      <c r="E144" s="6">
        <v>138760.91999999998</v>
      </c>
      <c r="F144" s="51" t="str">
        <f>VLOOKUP(B144,'State Abbreviations'!$A$2:$B$52,2,0)</f>
        <v>SC</v>
      </c>
      <c r="G144" s="48">
        <f>IFERROR(VLOOKUP(A144,'State Income (2001-2004)'!$A:$D,4,0),"NO INCOME DATA")</f>
        <v>26132</v>
      </c>
    </row>
    <row r="145" spans="1:7" x14ac:dyDescent="0.25">
      <c r="A145" t="str">
        <f t="shared" si="2"/>
        <v>South Dakota2003</v>
      </c>
      <c r="B145" s="2" t="s">
        <v>45</v>
      </c>
      <c r="C145" s="2">
        <v>2003</v>
      </c>
      <c r="D145" s="6">
        <v>814180</v>
      </c>
      <c r="E145" s="6">
        <v>24425.399999999998</v>
      </c>
      <c r="F145" s="51" t="str">
        <f>VLOOKUP(B145,'State Abbreviations'!$A$2:$B$52,2,0)</f>
        <v>SD</v>
      </c>
      <c r="G145" s="48">
        <f>IFERROR(VLOOKUP(A145,'State Income (2001-2004)'!$A:$D,4,0),"NO INCOME DATA")</f>
        <v>29234</v>
      </c>
    </row>
    <row r="146" spans="1:7" x14ac:dyDescent="0.25">
      <c r="A146" t="str">
        <f t="shared" si="2"/>
        <v>Tennessee2003</v>
      </c>
      <c r="B146" s="2" t="s">
        <v>46</v>
      </c>
      <c r="C146" s="2">
        <v>2003</v>
      </c>
      <c r="D146" s="6">
        <v>6346110</v>
      </c>
      <c r="E146" s="6">
        <v>253844.4</v>
      </c>
      <c r="F146" s="51" t="str">
        <f>VLOOKUP(B146,'State Abbreviations'!$A$2:$B$52,2,0)</f>
        <v>TN</v>
      </c>
      <c r="G146" s="48">
        <f>IFERROR(VLOOKUP(A146,'State Income (2001-2004)'!$A:$D,4,0),"NO INCOME DATA")</f>
        <v>28455</v>
      </c>
    </row>
    <row r="147" spans="1:7" x14ac:dyDescent="0.25">
      <c r="A147" t="str">
        <f t="shared" si="2"/>
        <v>Texas2003</v>
      </c>
      <c r="B147" s="2" t="s">
        <v>47</v>
      </c>
      <c r="C147" s="2">
        <v>2003</v>
      </c>
      <c r="D147" s="6">
        <v>25145561</v>
      </c>
      <c r="E147" s="6">
        <v>754366.83</v>
      </c>
      <c r="F147" s="51" t="str">
        <f>VLOOKUP(B147,'State Abbreviations'!$A$2:$B$52,2,0)</f>
        <v>TX</v>
      </c>
      <c r="G147" s="48">
        <f>IFERROR(VLOOKUP(A147,'State Income (2001-2004)'!$A:$D,4,0),"NO INCOME DATA")</f>
        <v>29372</v>
      </c>
    </row>
    <row r="148" spans="1:7" x14ac:dyDescent="0.25">
      <c r="A148" t="str">
        <f t="shared" si="2"/>
        <v>Utah2003</v>
      </c>
      <c r="B148" s="2" t="s">
        <v>48</v>
      </c>
      <c r="C148" s="2">
        <v>2003</v>
      </c>
      <c r="D148" s="6">
        <v>2763885</v>
      </c>
      <c r="E148" s="6">
        <v>55277.700000000004</v>
      </c>
      <c r="F148" s="51" t="str">
        <f>VLOOKUP(B148,'State Abbreviations'!$A$2:$B$52,2,0)</f>
        <v>UT</v>
      </c>
      <c r="G148" s="48">
        <f>IFERROR(VLOOKUP(A148,'State Income (2001-2004)'!$A:$D,4,0),"NO INCOME DATA")</f>
        <v>24977</v>
      </c>
    </row>
    <row r="149" spans="1:7" x14ac:dyDescent="0.25">
      <c r="A149" t="str">
        <f t="shared" si="2"/>
        <v>Vermont2003</v>
      </c>
      <c r="B149" s="2" t="s">
        <v>49</v>
      </c>
      <c r="C149" s="2">
        <v>2003</v>
      </c>
      <c r="D149" s="6">
        <v>625741</v>
      </c>
      <c r="E149" s="6">
        <v>12514.82</v>
      </c>
      <c r="F149" s="51" t="str">
        <f>VLOOKUP(B149,'State Abbreviations'!$A$2:$B$52,2,0)</f>
        <v>VT</v>
      </c>
      <c r="G149" s="48">
        <f>IFERROR(VLOOKUP(A149,'State Income (2001-2004)'!$A:$D,4,0),"NO INCOME DATA")</f>
        <v>30740</v>
      </c>
    </row>
    <row r="150" spans="1:7" x14ac:dyDescent="0.25">
      <c r="A150" t="str">
        <f t="shared" si="2"/>
        <v>Virginia2003</v>
      </c>
      <c r="B150" s="2" t="s">
        <v>50</v>
      </c>
      <c r="C150" s="2">
        <v>2003</v>
      </c>
      <c r="D150" s="6">
        <v>8001024</v>
      </c>
      <c r="E150" s="6">
        <v>240030.72</v>
      </c>
      <c r="F150" s="51" t="str">
        <f>VLOOKUP(B150,'State Abbreviations'!$A$2:$B$52,2,0)</f>
        <v>VA</v>
      </c>
      <c r="G150" s="48">
        <f>IFERROR(VLOOKUP(A150,'State Income (2001-2004)'!$A:$D,4,0),"NO INCOME DATA")</f>
        <v>33671</v>
      </c>
    </row>
    <row r="151" spans="1:7" x14ac:dyDescent="0.25">
      <c r="A151" t="str">
        <f t="shared" si="2"/>
        <v>Washington2003</v>
      </c>
      <c r="B151" s="2" t="s">
        <v>51</v>
      </c>
      <c r="C151" s="2">
        <v>2003</v>
      </c>
      <c r="D151" s="6">
        <v>6724540</v>
      </c>
      <c r="E151" s="6">
        <v>268981.59999999998</v>
      </c>
      <c r="F151" s="51" t="str">
        <f>VLOOKUP(B151,'State Abbreviations'!$A$2:$B$52,2,0)</f>
        <v>WA</v>
      </c>
      <c r="G151" s="48">
        <f>IFERROR(VLOOKUP(A151,'State Income (2001-2004)'!$A:$D,4,0),"NO INCOME DATA")</f>
        <v>33332</v>
      </c>
    </row>
    <row r="152" spans="1:7" x14ac:dyDescent="0.25">
      <c r="A152" t="str">
        <f t="shared" si="2"/>
        <v>West Virginia2003</v>
      </c>
      <c r="B152" s="2" t="s">
        <v>52</v>
      </c>
      <c r="C152" s="2">
        <v>2003</v>
      </c>
      <c r="D152" s="6">
        <v>1852996</v>
      </c>
      <c r="E152" s="6">
        <v>37059.919999999998</v>
      </c>
      <c r="F152" s="51" t="str">
        <f>VLOOKUP(B152,'State Abbreviations'!$A$2:$B$52,2,0)</f>
        <v>WV</v>
      </c>
      <c r="G152" s="48">
        <f>IFERROR(VLOOKUP(A152,'State Income (2001-2004)'!$A:$D,4,0),"NO INCOME DATA")</f>
        <v>24379</v>
      </c>
    </row>
    <row r="153" spans="1:7" x14ac:dyDescent="0.25">
      <c r="A153" t="str">
        <f t="shared" si="2"/>
        <v>Wisconsin2003</v>
      </c>
      <c r="B153" s="2" t="s">
        <v>53</v>
      </c>
      <c r="C153" s="2">
        <v>2003</v>
      </c>
      <c r="D153" s="6">
        <v>5686986</v>
      </c>
      <c r="E153" s="6">
        <v>113739.72</v>
      </c>
      <c r="F153" s="51" t="str">
        <f>VLOOKUP(B153,'State Abbreviations'!$A$2:$B$52,2,0)</f>
        <v>WI</v>
      </c>
      <c r="G153" s="48">
        <f>IFERROR(VLOOKUP(A153,'State Income (2001-2004)'!$A:$D,4,0),"NO INCOME DATA")</f>
        <v>30898</v>
      </c>
    </row>
    <row r="154" spans="1:7" x14ac:dyDescent="0.25">
      <c r="A154" t="str">
        <f t="shared" si="2"/>
        <v>Wyoming2003</v>
      </c>
      <c r="B154" s="2" t="s">
        <v>54</v>
      </c>
      <c r="C154" s="2">
        <v>2003</v>
      </c>
      <c r="D154" s="6">
        <v>563626</v>
      </c>
      <c r="E154" s="6">
        <v>11272.52</v>
      </c>
      <c r="F154" s="51" t="str">
        <f>VLOOKUP(B154,'State Abbreviations'!$A$2:$B$52,2,0)</f>
        <v>WY</v>
      </c>
      <c r="G154" s="48">
        <f>IFERROR(VLOOKUP(A154,'State Income (2001-2004)'!$A:$D,4,0),"NO INCOME DATA")</f>
        <v>32808</v>
      </c>
    </row>
    <row r="155" spans="1:7" x14ac:dyDescent="0.25">
      <c r="A155" t="str">
        <f t="shared" si="2"/>
        <v>Alabama2004</v>
      </c>
      <c r="B155" s="2" t="s">
        <v>4</v>
      </c>
      <c r="C155" s="2">
        <v>2004</v>
      </c>
      <c r="D155" s="6">
        <v>4822023</v>
      </c>
      <c r="E155" s="6">
        <v>96440.46</v>
      </c>
      <c r="F155" s="51" t="str">
        <f>VLOOKUP(B155,'State Abbreviations'!$A$2:$B$52,2,0)</f>
        <v>AL</v>
      </c>
      <c r="G155" s="48">
        <f>IFERROR(VLOOKUP(A155,'State Income (2001-2004)'!$A:$D,4,0),"NO INCOME DATA")</f>
        <v>29136</v>
      </c>
    </row>
    <row r="156" spans="1:7" x14ac:dyDescent="0.25">
      <c r="A156" t="str">
        <f t="shared" si="2"/>
        <v>Alaska2004</v>
      </c>
      <c r="B156" s="2" t="s">
        <v>5</v>
      </c>
      <c r="C156" s="2">
        <v>2004</v>
      </c>
      <c r="D156" s="6">
        <v>731449</v>
      </c>
      <c r="E156" s="6">
        <v>14628.98</v>
      </c>
      <c r="F156" s="51" t="str">
        <f>VLOOKUP(B156,'State Abbreviations'!$A$2:$B$52,2,0)</f>
        <v>AK</v>
      </c>
      <c r="G156" s="48">
        <f>IFERROR(VLOOKUP(A156,'State Income (2001-2004)'!$A:$D,4,0),"NO INCOME DATA")</f>
        <v>35612</v>
      </c>
    </row>
    <row r="157" spans="1:7" x14ac:dyDescent="0.25">
      <c r="A157" t="str">
        <f t="shared" si="2"/>
        <v>Arizona2004</v>
      </c>
      <c r="B157" s="2" t="s">
        <v>6</v>
      </c>
      <c r="C157" s="2">
        <v>2004</v>
      </c>
      <c r="D157" s="6">
        <v>6553255</v>
      </c>
      <c r="E157" s="6">
        <v>262130.2</v>
      </c>
      <c r="F157" s="51" t="str">
        <f>VLOOKUP(B157,'State Abbreviations'!$A$2:$B$52,2,0)</f>
        <v>AZ</v>
      </c>
      <c r="G157" s="48">
        <f>IFERROR(VLOOKUP(A157,'State Income (2001-2004)'!$A:$D,4,0),"NO INCOME DATA")</f>
        <v>30267</v>
      </c>
    </row>
    <row r="158" spans="1:7" x14ac:dyDescent="0.25">
      <c r="A158" t="str">
        <f t="shared" si="2"/>
        <v>Arkansas2004</v>
      </c>
      <c r="B158" s="2" t="s">
        <v>7</v>
      </c>
      <c r="C158" s="2">
        <v>2004</v>
      </c>
      <c r="D158" s="6">
        <v>2949131</v>
      </c>
      <c r="E158" s="6">
        <v>88473.93</v>
      </c>
      <c r="F158" s="51" t="str">
        <f>VLOOKUP(B158,'State Abbreviations'!$A$2:$B$52,2,0)</f>
        <v>AR</v>
      </c>
      <c r="G158" s="48">
        <f>IFERROR(VLOOKUP(A158,'State Income (2001-2004)'!$A:$D,4,0),"NO INCOME DATA")</f>
        <v>26874</v>
      </c>
    </row>
    <row r="159" spans="1:7" x14ac:dyDescent="0.25">
      <c r="A159" t="str">
        <f t="shared" si="2"/>
        <v>California2004</v>
      </c>
      <c r="B159" s="2" t="s">
        <v>8</v>
      </c>
      <c r="C159" s="2">
        <v>2004</v>
      </c>
      <c r="D159" s="6">
        <v>38041430</v>
      </c>
      <c r="E159" s="6">
        <v>1141242.8999999999</v>
      </c>
      <c r="F159" s="51" t="str">
        <f>VLOOKUP(B159,'State Abbreviations'!$A$2:$B$52,2,0)</f>
        <v>CA</v>
      </c>
      <c r="G159" s="48">
        <f>IFERROR(VLOOKUP(A159,'State Income (2001-2004)'!$A:$D,4,0),"NO INCOME DATA")</f>
        <v>37036</v>
      </c>
    </row>
    <row r="160" spans="1:7" x14ac:dyDescent="0.25">
      <c r="A160" t="str">
        <f t="shared" si="2"/>
        <v>Colorado2004</v>
      </c>
      <c r="B160" s="2" t="s">
        <v>9</v>
      </c>
      <c r="C160" s="2">
        <v>2004</v>
      </c>
      <c r="D160" s="6">
        <v>5187582</v>
      </c>
      <c r="E160" s="6">
        <v>155627.46</v>
      </c>
      <c r="F160" s="51" t="str">
        <f>VLOOKUP(B160,'State Abbreviations'!$A$2:$B$52,2,0)</f>
        <v>CO</v>
      </c>
      <c r="G160" s="48">
        <f>IFERROR(VLOOKUP(A160,'State Income (2001-2004)'!$A:$D,4,0),"NO INCOME DATA")</f>
        <v>37946</v>
      </c>
    </row>
    <row r="161" spans="1:7" x14ac:dyDescent="0.25">
      <c r="A161" t="str">
        <f t="shared" si="2"/>
        <v>Connecticut2004</v>
      </c>
      <c r="B161" s="2" t="s">
        <v>10</v>
      </c>
      <c r="C161" s="2">
        <v>2004</v>
      </c>
      <c r="D161" s="6">
        <v>3590347</v>
      </c>
      <c r="E161" s="6">
        <v>71806.94</v>
      </c>
      <c r="F161" s="51" t="str">
        <f>VLOOKUP(B161,'State Abbreviations'!$A$2:$B$52,2,0)</f>
        <v>CT</v>
      </c>
      <c r="G161" s="48">
        <f>IFERROR(VLOOKUP(A161,'State Income (2001-2004)'!$A:$D,4,0),"NO INCOME DATA")</f>
        <v>47819</v>
      </c>
    </row>
    <row r="162" spans="1:7" x14ac:dyDescent="0.25">
      <c r="A162" t="str">
        <f t="shared" si="2"/>
        <v>D.C.2004</v>
      </c>
      <c r="B162" s="2" t="s">
        <v>11</v>
      </c>
      <c r="C162" s="2">
        <v>2004</v>
      </c>
      <c r="D162" s="6">
        <v>917092</v>
      </c>
      <c r="E162" s="6">
        <v>18341.84</v>
      </c>
      <c r="F162" s="51" t="str">
        <f>VLOOKUP(B162,'State Abbreviations'!$A$2:$B$52,2,0)</f>
        <v>DC</v>
      </c>
      <c r="G162" s="48">
        <f>IFERROR(VLOOKUP(A162,'State Income (2001-2004)'!$A:$D,4,0),"NO INCOME DATA")</f>
        <v>37065</v>
      </c>
    </row>
    <row r="163" spans="1:7" x14ac:dyDescent="0.25">
      <c r="A163" t="str">
        <f t="shared" si="2"/>
        <v>Delaware2004</v>
      </c>
      <c r="B163" s="2" t="s">
        <v>12</v>
      </c>
      <c r="C163" s="2">
        <v>2004</v>
      </c>
      <c r="D163" s="6">
        <v>632323</v>
      </c>
      <c r="E163" s="6">
        <v>25292.920000000002</v>
      </c>
      <c r="F163" s="51" t="str">
        <f>VLOOKUP(B163,'State Abbreviations'!$A$2:$B$52,2,0)</f>
        <v>DE</v>
      </c>
      <c r="G163" s="48">
        <f>IFERROR(VLOOKUP(A163,'State Income (2001-2004)'!$A:$D,4,0),"NO INCOME DATA")</f>
        <v>54985</v>
      </c>
    </row>
    <row r="164" spans="1:7" x14ac:dyDescent="0.25">
      <c r="A164" t="str">
        <f t="shared" si="2"/>
        <v>Florida2004</v>
      </c>
      <c r="B164" s="2" t="s">
        <v>13</v>
      </c>
      <c r="C164" s="2">
        <v>2004</v>
      </c>
      <c r="D164" s="6">
        <v>19317568</v>
      </c>
      <c r="E164" s="6">
        <v>579527.03999999992</v>
      </c>
      <c r="F164" s="51" t="str">
        <f>VLOOKUP(B164,'State Abbreviations'!$A$2:$B$52,2,0)</f>
        <v>FL</v>
      </c>
      <c r="G164" s="48">
        <f>IFERROR(VLOOKUP(A164,'State Income (2001-2004)'!$A:$D,4,0),"NO INCOME DATA")</f>
        <v>33219</v>
      </c>
    </row>
    <row r="165" spans="1:7" x14ac:dyDescent="0.25">
      <c r="A165" t="str">
        <f t="shared" si="2"/>
        <v>Georgia2004</v>
      </c>
      <c r="B165" s="2" t="s">
        <v>14</v>
      </c>
      <c r="C165" s="2">
        <v>2004</v>
      </c>
      <c r="D165" s="6">
        <v>9919945</v>
      </c>
      <c r="E165" s="6">
        <v>396797.8</v>
      </c>
      <c r="F165" s="51" t="str">
        <f>VLOOKUP(B165,'State Abbreviations'!$A$2:$B$52,2,0)</f>
        <v>GA</v>
      </c>
      <c r="G165" s="48">
        <f>IFERROR(VLOOKUP(A165,'State Income (2001-2004)'!$A:$D,4,0),"NO INCOME DATA")</f>
        <v>31121</v>
      </c>
    </row>
    <row r="166" spans="1:7" x14ac:dyDescent="0.25">
      <c r="A166" t="str">
        <f t="shared" si="2"/>
        <v>Hawaii2004</v>
      </c>
      <c r="B166" s="2" t="s">
        <v>15</v>
      </c>
      <c r="C166" s="2">
        <v>2004</v>
      </c>
      <c r="D166" s="6">
        <v>1392313</v>
      </c>
      <c r="E166" s="6">
        <v>55692.520000000004</v>
      </c>
      <c r="F166" s="51" t="str">
        <f>VLOOKUP(B166,'State Abbreviations'!$A$2:$B$52,2,0)</f>
        <v>HI</v>
      </c>
      <c r="G166" s="48">
        <f>IFERROR(VLOOKUP(A166,'State Income (2001-2004)'!$A:$D,4,0),"NO INCOME DATA")</f>
        <v>34539</v>
      </c>
    </row>
    <row r="167" spans="1:7" x14ac:dyDescent="0.25">
      <c r="A167" t="str">
        <f t="shared" si="2"/>
        <v>Idaho2004</v>
      </c>
      <c r="B167" s="2" t="s">
        <v>16</v>
      </c>
      <c r="C167" s="2">
        <v>2004</v>
      </c>
      <c r="D167" s="6">
        <v>1595728</v>
      </c>
      <c r="E167" s="6">
        <v>31914.560000000001</v>
      </c>
      <c r="F167" s="51" t="str">
        <f>VLOOKUP(B167,'State Abbreviations'!$A$2:$B$52,2,0)</f>
        <v>ID</v>
      </c>
      <c r="G167" s="48">
        <f>IFERROR(VLOOKUP(A167,'State Income (2001-2004)'!$A:$D,4,0),"NO INCOME DATA")</f>
        <v>28158</v>
      </c>
    </row>
    <row r="168" spans="1:7" x14ac:dyDescent="0.25">
      <c r="A168" t="str">
        <f t="shared" si="2"/>
        <v>Illinois2004</v>
      </c>
      <c r="B168" s="2" t="s">
        <v>17</v>
      </c>
      <c r="C168" s="2">
        <v>2004</v>
      </c>
      <c r="D168" s="6">
        <v>12875255</v>
      </c>
      <c r="E168" s="6">
        <v>386257.64999999997</v>
      </c>
      <c r="F168" s="51" t="str">
        <f>VLOOKUP(B168,'State Abbreviations'!$A$2:$B$52,2,0)</f>
        <v>IL</v>
      </c>
      <c r="G168" s="48">
        <f>IFERROR(VLOOKUP(A168,'State Income (2001-2004)'!$A:$D,4,0),"NO INCOME DATA")</f>
        <v>36120</v>
      </c>
    </row>
    <row r="169" spans="1:7" x14ac:dyDescent="0.25">
      <c r="A169" t="str">
        <f t="shared" si="2"/>
        <v>Indiana2004</v>
      </c>
      <c r="B169" s="2" t="s">
        <v>18</v>
      </c>
      <c r="C169" s="2">
        <v>2004</v>
      </c>
      <c r="D169" s="6">
        <v>6537334</v>
      </c>
      <c r="E169" s="6">
        <v>261493.36000000002</v>
      </c>
      <c r="F169" s="51" t="str">
        <f>VLOOKUP(B169,'State Abbreviations'!$A$2:$B$52,2,0)</f>
        <v>IN</v>
      </c>
      <c r="G169" s="48">
        <f>IFERROR(VLOOKUP(A169,'State Income (2001-2004)'!$A:$D,4,0),"NO INCOME DATA")</f>
        <v>31276</v>
      </c>
    </row>
    <row r="170" spans="1:7" x14ac:dyDescent="0.25">
      <c r="A170" t="str">
        <f t="shared" si="2"/>
        <v>Iowa2004</v>
      </c>
      <c r="B170" s="2" t="s">
        <v>19</v>
      </c>
      <c r="C170" s="2">
        <v>2004</v>
      </c>
      <c r="D170" s="6">
        <v>3074186</v>
      </c>
      <c r="E170" s="6">
        <v>122967.44</v>
      </c>
      <c r="F170" s="51" t="str">
        <f>VLOOKUP(B170,'State Abbreviations'!$A$2:$B$52,2,0)</f>
        <v>IA</v>
      </c>
      <c r="G170" s="48">
        <f>IFERROR(VLOOKUP(A170,'State Income (2001-2004)'!$A:$D,4,0),"NO INCOME DATA")</f>
        <v>32315</v>
      </c>
    </row>
    <row r="171" spans="1:7" x14ac:dyDescent="0.25">
      <c r="A171" t="str">
        <f t="shared" si="2"/>
        <v>Kansas2004</v>
      </c>
      <c r="B171" s="2" t="s">
        <v>20</v>
      </c>
      <c r="C171" s="2">
        <v>2004</v>
      </c>
      <c r="D171" s="6">
        <v>2885905</v>
      </c>
      <c r="E171" s="6">
        <v>86577.15</v>
      </c>
      <c r="F171" s="51" t="str">
        <f>VLOOKUP(B171,'State Abbreviations'!$A$2:$B$52,2,0)</f>
        <v>KS</v>
      </c>
      <c r="G171" s="48">
        <f>IFERROR(VLOOKUP(A171,'State Income (2001-2004)'!$A:$D,4,0),"NO INCOME DATA")</f>
        <v>32836</v>
      </c>
    </row>
    <row r="172" spans="1:7" x14ac:dyDescent="0.25">
      <c r="A172" t="str">
        <f t="shared" si="2"/>
        <v>Kentucky2004</v>
      </c>
      <c r="B172" s="2" t="s">
        <v>21</v>
      </c>
      <c r="C172" s="2">
        <v>2004</v>
      </c>
      <c r="D172" s="6">
        <v>4380415</v>
      </c>
      <c r="E172" s="6">
        <v>175216.6</v>
      </c>
      <c r="F172" s="51" t="str">
        <f>VLOOKUP(B172,'State Abbreviations'!$A$2:$B$52,2,0)</f>
        <v>KY</v>
      </c>
      <c r="G172" s="48">
        <f>IFERROR(VLOOKUP(A172,'State Income (2001-2004)'!$A:$D,4,0),"NO INCOME DATA")</f>
        <v>28513</v>
      </c>
    </row>
    <row r="173" spans="1:7" x14ac:dyDescent="0.25">
      <c r="A173" t="str">
        <f t="shared" si="2"/>
        <v>Louisiana2004</v>
      </c>
      <c r="B173" s="2" t="s">
        <v>22</v>
      </c>
      <c r="C173" s="2">
        <v>2004</v>
      </c>
      <c r="D173" s="6">
        <v>4601893</v>
      </c>
      <c r="E173" s="6">
        <v>92037.86</v>
      </c>
      <c r="F173" s="51" t="str">
        <f>VLOOKUP(B173,'State Abbreviations'!$A$2:$B$52,2,0)</f>
        <v>LA</v>
      </c>
      <c r="G173" s="48">
        <f>IFERROR(VLOOKUP(A173,'State Income (2001-2004)'!$A:$D,4,0),"NO INCOME DATA")</f>
        <v>24820</v>
      </c>
    </row>
    <row r="174" spans="1:7" x14ac:dyDescent="0.25">
      <c r="A174" t="str">
        <f t="shared" si="2"/>
        <v>Maine2004</v>
      </c>
      <c r="B174" s="2" t="s">
        <v>23</v>
      </c>
      <c r="C174" s="2">
        <v>2004</v>
      </c>
      <c r="D174" s="6">
        <v>1329192</v>
      </c>
      <c r="E174" s="6">
        <v>39875.760000000002</v>
      </c>
      <c r="F174" s="51" t="str">
        <f>VLOOKUP(B174,'State Abbreviations'!$A$2:$B$52,2,0)</f>
        <v>ME</v>
      </c>
      <c r="G174" s="48">
        <f>IFERROR(VLOOKUP(A174,'State Income (2001-2004)'!$A:$D,4,0),"NO INCOME DATA")</f>
        <v>31252</v>
      </c>
    </row>
    <row r="175" spans="1:7" x14ac:dyDescent="0.25">
      <c r="A175" t="str">
        <f t="shared" si="2"/>
        <v>Maryland2004</v>
      </c>
      <c r="B175" s="2" t="s">
        <v>24</v>
      </c>
      <c r="C175" s="2">
        <v>2004</v>
      </c>
      <c r="D175" s="6">
        <v>5884563</v>
      </c>
      <c r="E175" s="6">
        <v>235382.52000000002</v>
      </c>
      <c r="F175" s="51" t="str">
        <f>VLOOKUP(B175,'State Abbreviations'!$A$2:$B$52,2,0)</f>
        <v>MD</v>
      </c>
      <c r="G175" s="48">
        <f>IFERROR(VLOOKUP(A175,'State Income (2001-2004)'!$A:$D,4,0),"NO INCOME DATA")</f>
        <v>41760</v>
      </c>
    </row>
    <row r="176" spans="1:7" x14ac:dyDescent="0.25">
      <c r="A176" t="str">
        <f t="shared" si="2"/>
        <v>Massachusetts2004</v>
      </c>
      <c r="B176" s="2" t="s">
        <v>25</v>
      </c>
      <c r="C176" s="2">
        <v>2004</v>
      </c>
      <c r="D176" s="6">
        <v>6646144</v>
      </c>
      <c r="E176" s="6">
        <v>265845.76000000001</v>
      </c>
      <c r="F176" s="51" t="str">
        <f>VLOOKUP(B176,'State Abbreviations'!$A$2:$B$52,2,0)</f>
        <v>MA</v>
      </c>
      <c r="G176" s="48">
        <f>IFERROR(VLOOKUP(A176,'State Income (2001-2004)'!$A:$D,4,0),"NO INCOME DATA")</f>
        <v>44289</v>
      </c>
    </row>
    <row r="177" spans="1:7" x14ac:dyDescent="0.25">
      <c r="A177" t="str">
        <f t="shared" si="2"/>
        <v>Michigan2004</v>
      </c>
      <c r="B177" s="2" t="s">
        <v>26</v>
      </c>
      <c r="C177" s="2">
        <v>2004</v>
      </c>
      <c r="D177" s="6">
        <v>9883360</v>
      </c>
      <c r="E177" s="6">
        <v>296500.8</v>
      </c>
      <c r="F177" s="51" t="str">
        <f>VLOOKUP(B177,'State Abbreviations'!$A$2:$B$52,2,0)</f>
        <v>MI</v>
      </c>
      <c r="G177" s="48">
        <f>IFERROR(VLOOKUP(A177,'State Income (2001-2004)'!$A:$D,4,0),"NO INCOME DATA")</f>
        <v>33116</v>
      </c>
    </row>
    <row r="178" spans="1:7" x14ac:dyDescent="0.25">
      <c r="A178" t="str">
        <f t="shared" si="2"/>
        <v>Minnesota2004</v>
      </c>
      <c r="B178" s="2" t="s">
        <v>27</v>
      </c>
      <c r="C178" s="2">
        <v>2004</v>
      </c>
      <c r="D178" s="6">
        <v>5379139</v>
      </c>
      <c r="E178" s="6">
        <v>107582.78</v>
      </c>
      <c r="F178" s="51" t="str">
        <f>VLOOKUP(B178,'State Abbreviations'!$A$2:$B$52,2,0)</f>
        <v>MN</v>
      </c>
      <c r="G178" s="48">
        <f>IFERROR(VLOOKUP(A178,'State Income (2001-2004)'!$A:$D,4,0),"NO INCOME DATA")</f>
        <v>37373</v>
      </c>
    </row>
    <row r="179" spans="1:7" x14ac:dyDescent="0.25">
      <c r="A179" t="str">
        <f t="shared" si="2"/>
        <v>Mississippi2004</v>
      </c>
      <c r="B179" s="2" t="s">
        <v>28</v>
      </c>
      <c r="C179" s="2">
        <v>2004</v>
      </c>
      <c r="D179" s="6">
        <v>2984926</v>
      </c>
      <c r="E179" s="6">
        <v>119397.04000000001</v>
      </c>
      <c r="F179" s="51" t="str">
        <f>VLOOKUP(B179,'State Abbreviations'!$A$2:$B$52,2,0)</f>
        <v>MS</v>
      </c>
      <c r="G179" s="48">
        <f>IFERROR(VLOOKUP(A179,'State Income (2001-2004)'!$A:$D,4,0),"NO INCOME DATA")</f>
        <v>25318</v>
      </c>
    </row>
    <row r="180" spans="1:7" x14ac:dyDescent="0.25">
      <c r="A180" t="str">
        <f t="shared" si="2"/>
        <v>Missouri2004</v>
      </c>
      <c r="B180" s="2" t="s">
        <v>29</v>
      </c>
      <c r="C180" s="2">
        <v>2004</v>
      </c>
      <c r="D180" s="6">
        <v>6021988</v>
      </c>
      <c r="E180" s="6">
        <v>120439.76000000001</v>
      </c>
      <c r="F180" s="51" t="str">
        <f>VLOOKUP(B180,'State Abbreviations'!$A$2:$B$52,2,0)</f>
        <v>MO</v>
      </c>
      <c r="G180" s="48">
        <f>IFERROR(VLOOKUP(A180,'State Income (2001-2004)'!$A:$D,4,0),"NO INCOME DATA")</f>
        <v>31899</v>
      </c>
    </row>
    <row r="181" spans="1:7" x14ac:dyDescent="0.25">
      <c r="A181" t="str">
        <f t="shared" si="2"/>
        <v>Montana2004</v>
      </c>
      <c r="B181" s="2" t="s">
        <v>30</v>
      </c>
      <c r="C181" s="2">
        <v>2004</v>
      </c>
      <c r="D181" s="6">
        <v>1005141</v>
      </c>
      <c r="E181" s="6">
        <v>40205.64</v>
      </c>
      <c r="F181" s="51" t="str">
        <f>VLOOKUP(B181,'State Abbreviations'!$A$2:$B$52,2,0)</f>
        <v>MT</v>
      </c>
      <c r="G181" s="48">
        <f>IFERROR(VLOOKUP(A181,'State Income (2001-2004)'!$A:$D,4,0),"NO INCOME DATA")</f>
        <v>29387</v>
      </c>
    </row>
    <row r="182" spans="1:7" x14ac:dyDescent="0.25">
      <c r="A182" t="str">
        <f t="shared" si="2"/>
        <v>Nebraska2004</v>
      </c>
      <c r="B182" s="2" t="s">
        <v>31</v>
      </c>
      <c r="C182" s="2">
        <v>2004</v>
      </c>
      <c r="D182" s="6">
        <v>1855525</v>
      </c>
      <c r="E182" s="6">
        <v>55665.75</v>
      </c>
      <c r="F182" s="51" t="str">
        <f>VLOOKUP(B182,'State Abbreviations'!$A$2:$B$52,2,0)</f>
        <v>NE</v>
      </c>
      <c r="G182" s="48">
        <f>IFERROR(VLOOKUP(A182,'State Income (2001-2004)'!$A:$D,4,0),"NO INCOME DATA")</f>
        <v>33616</v>
      </c>
    </row>
    <row r="183" spans="1:7" x14ac:dyDescent="0.25">
      <c r="A183" t="str">
        <f t="shared" si="2"/>
        <v>Nevada2004</v>
      </c>
      <c r="B183" s="2" t="s">
        <v>32</v>
      </c>
      <c r="C183" s="2">
        <v>2004</v>
      </c>
      <c r="D183" s="6">
        <v>2758931</v>
      </c>
      <c r="E183" s="6">
        <v>110357.24</v>
      </c>
      <c r="F183" s="51" t="str">
        <f>VLOOKUP(B183,'State Abbreviations'!$A$2:$B$52,2,0)</f>
        <v>NV</v>
      </c>
      <c r="G183" s="48" t="str">
        <f>IFERROR(VLOOKUP(A183,'State Income (2001-2004)'!$A:$D,4,0),"NO INCOME DATA")</f>
        <v>NO INCOME DATA</v>
      </c>
    </row>
    <row r="184" spans="1:7" x14ac:dyDescent="0.25">
      <c r="A184" t="str">
        <f t="shared" si="2"/>
        <v>New Hampshire2004</v>
      </c>
      <c r="B184" s="2" t="s">
        <v>33</v>
      </c>
      <c r="C184" s="2">
        <v>2004</v>
      </c>
      <c r="D184" s="6">
        <v>1320718</v>
      </c>
      <c r="E184" s="6">
        <v>52828.72</v>
      </c>
      <c r="F184" s="51" t="str">
        <f>VLOOKUP(B184,'State Abbreviations'!$A$2:$B$52,2,0)</f>
        <v>NH</v>
      </c>
      <c r="G184" s="48">
        <f>IFERROR(VLOOKUP(A184,'State Income (2001-2004)'!$A:$D,4,0),"NO INCOME DATA")</f>
        <v>38408</v>
      </c>
    </row>
    <row r="185" spans="1:7" x14ac:dyDescent="0.25">
      <c r="A185" t="str">
        <f t="shared" si="2"/>
        <v>New Jersey2004</v>
      </c>
      <c r="B185" s="2" t="s">
        <v>34</v>
      </c>
      <c r="C185" s="2">
        <v>2004</v>
      </c>
      <c r="D185" s="6">
        <v>8864590</v>
      </c>
      <c r="E185" s="6">
        <v>177291.80000000002</v>
      </c>
      <c r="F185" s="51" t="str">
        <f>VLOOKUP(B185,'State Abbreviations'!$A$2:$B$52,2,0)</f>
        <v>NJ</v>
      </c>
      <c r="G185" s="48" t="str">
        <f>IFERROR(VLOOKUP(A185,'State Income (2001-2004)'!$A:$D,4,0),"NO INCOME DATA")</f>
        <v>NO INCOME DATA</v>
      </c>
    </row>
    <row r="186" spans="1:7" x14ac:dyDescent="0.25">
      <c r="A186" t="str">
        <f t="shared" si="2"/>
        <v>New Mexico2004</v>
      </c>
      <c r="B186" s="2" t="s">
        <v>35</v>
      </c>
      <c r="C186" s="2">
        <v>2004</v>
      </c>
      <c r="D186" s="6">
        <v>2085538</v>
      </c>
      <c r="E186" s="6">
        <v>83421.52</v>
      </c>
      <c r="F186" s="51" t="str">
        <f>VLOOKUP(B186,'State Abbreviations'!$A$2:$B$52,2,0)</f>
        <v>NM</v>
      </c>
      <c r="G186" s="48">
        <f>IFERROR(VLOOKUP(A186,'State Income (2001-2004)'!$A:$D,4,0),"NO INCOME DATA")</f>
        <v>27644</v>
      </c>
    </row>
    <row r="187" spans="1:7" x14ac:dyDescent="0.25">
      <c r="A187" t="str">
        <f t="shared" si="2"/>
        <v>New York2004</v>
      </c>
      <c r="B187" s="2" t="s">
        <v>36</v>
      </c>
      <c r="C187" s="2">
        <v>2004</v>
      </c>
      <c r="D187" s="6">
        <v>19570261</v>
      </c>
      <c r="E187" s="6">
        <v>587107.82999999996</v>
      </c>
      <c r="F187" s="51" t="str">
        <f>VLOOKUP(B187,'State Abbreviations'!$A$2:$B$52,2,0)</f>
        <v>NY</v>
      </c>
      <c r="G187" s="48" t="str">
        <f>IFERROR(VLOOKUP(A187,'State Income (2001-2004)'!$A:$D,4,0),"NO INCOME DATA")</f>
        <v>NO INCOME DATA</v>
      </c>
    </row>
    <row r="188" spans="1:7" x14ac:dyDescent="0.25">
      <c r="A188" t="str">
        <f t="shared" si="2"/>
        <v>North Carolina2004</v>
      </c>
      <c r="B188" s="2" t="s">
        <v>37</v>
      </c>
      <c r="C188" s="2">
        <v>2004</v>
      </c>
      <c r="D188" s="6">
        <v>9752073</v>
      </c>
      <c r="E188" s="6">
        <v>195041.46</v>
      </c>
      <c r="F188" s="51" t="str">
        <f>VLOOKUP(B188,'State Abbreviations'!$A$2:$B$52,2,0)</f>
        <v>NC</v>
      </c>
      <c r="G188" s="48">
        <f>IFERROR(VLOOKUP(A188,'State Income (2001-2004)'!$A:$D,4,0),"NO INCOME DATA")</f>
        <v>30553</v>
      </c>
    </row>
    <row r="189" spans="1:7" x14ac:dyDescent="0.25">
      <c r="A189" t="str">
        <f t="shared" si="2"/>
        <v>North Dakota2004</v>
      </c>
      <c r="B189" s="2" t="s">
        <v>38</v>
      </c>
      <c r="C189" s="2">
        <v>2004</v>
      </c>
      <c r="D189" s="6">
        <v>699628</v>
      </c>
      <c r="E189" s="6">
        <v>27985.119999999999</v>
      </c>
      <c r="F189" s="51" t="str">
        <f>VLOOKUP(B189,'State Abbreviations'!$A$2:$B$52,2,0)</f>
        <v>ND</v>
      </c>
      <c r="G189" s="48">
        <f>IFERROR(VLOOKUP(A189,'State Income (2001-2004)'!$A:$D,4,0),"NO INCOME DATA")</f>
        <v>31395</v>
      </c>
    </row>
    <row r="190" spans="1:7" x14ac:dyDescent="0.25">
      <c r="A190" t="str">
        <f t="shared" si="2"/>
        <v>Ohio2004</v>
      </c>
      <c r="B190" s="2" t="s">
        <v>39</v>
      </c>
      <c r="C190" s="2">
        <v>2004</v>
      </c>
      <c r="D190" s="6">
        <v>11544225</v>
      </c>
      <c r="E190" s="6">
        <v>230884.5</v>
      </c>
      <c r="F190" s="51" t="str">
        <f>VLOOKUP(B190,'State Abbreviations'!$A$2:$B$52,2,0)</f>
        <v>OH</v>
      </c>
      <c r="G190" s="48">
        <f>IFERROR(VLOOKUP(A190,'State Income (2001-2004)'!$A:$D,4,0),"NO INCOME DATA")</f>
        <v>32478</v>
      </c>
    </row>
    <row r="191" spans="1:7" x14ac:dyDescent="0.25">
      <c r="A191" t="str">
        <f t="shared" si="2"/>
        <v>Oklahoma2004</v>
      </c>
      <c r="B191" s="2" t="s">
        <v>40</v>
      </c>
      <c r="C191" s="2">
        <v>2004</v>
      </c>
      <c r="D191" s="6">
        <v>3814820</v>
      </c>
      <c r="E191" s="6">
        <v>152592.80000000002</v>
      </c>
      <c r="F191" s="51" t="str">
        <f>VLOOKUP(B191,'State Abbreviations'!$A$2:$B$52,2,0)</f>
        <v>OK</v>
      </c>
      <c r="G191" s="48">
        <f>IFERROR(VLOOKUP(A191,'State Income (2001-2004)'!$A:$D,4,0),"NO INCOME DATA")</f>
        <v>29330</v>
      </c>
    </row>
    <row r="192" spans="1:7" x14ac:dyDescent="0.25">
      <c r="A192" t="str">
        <f t="shared" si="2"/>
        <v>Oregon2004</v>
      </c>
      <c r="B192" s="2" t="s">
        <v>41</v>
      </c>
      <c r="C192" s="2">
        <v>2004</v>
      </c>
      <c r="D192" s="6">
        <v>3899353</v>
      </c>
      <c r="E192" s="6">
        <v>77987.06</v>
      </c>
      <c r="F192" s="51" t="str">
        <f>VLOOKUP(B192,'State Abbreviations'!$A$2:$B$52,2,0)</f>
        <v>OR</v>
      </c>
      <c r="G192" s="48">
        <f>IFERROR(VLOOKUP(A192,'State Income (2001-2004)'!$A:$D,4,0),"NO INCOME DATA")</f>
        <v>32103</v>
      </c>
    </row>
    <row r="193" spans="1:7" x14ac:dyDescent="0.25">
      <c r="A193" t="str">
        <f t="shared" si="2"/>
        <v>Pennsylvania2004</v>
      </c>
      <c r="B193" s="2" t="s">
        <v>42</v>
      </c>
      <c r="C193" s="2">
        <v>2004</v>
      </c>
      <c r="D193" s="6">
        <v>12763536</v>
      </c>
      <c r="E193" s="6">
        <v>382906.07999999996</v>
      </c>
      <c r="F193" s="51" t="str">
        <f>VLOOKUP(B193,'State Abbreviations'!$A$2:$B$52,2,0)</f>
        <v>PA</v>
      </c>
      <c r="G193" s="48">
        <f>IFERROR(VLOOKUP(A193,'State Income (2001-2004)'!$A:$D,4,0),"NO INCOME DATA")</f>
        <v>34897</v>
      </c>
    </row>
    <row r="194" spans="1:7" x14ac:dyDescent="0.25">
      <c r="A194" t="str">
        <f t="shared" si="2"/>
        <v>Rhode Island2004</v>
      </c>
      <c r="B194" s="2" t="s">
        <v>43</v>
      </c>
      <c r="C194" s="2">
        <v>2004</v>
      </c>
      <c r="D194" s="6">
        <v>1050292</v>
      </c>
      <c r="E194" s="6">
        <v>31508.76</v>
      </c>
      <c r="F194" s="51" t="str">
        <f>VLOOKUP(B194,'State Abbreviations'!$A$2:$B$52,2,0)</f>
        <v>RI</v>
      </c>
      <c r="G194" s="48">
        <f>IFERROR(VLOOKUP(A194,'State Income (2001-2004)'!$A:$D,4,0),"NO INCOME DATA")</f>
        <v>36153</v>
      </c>
    </row>
    <row r="195" spans="1:7" x14ac:dyDescent="0.25">
      <c r="A195" t="str">
        <f t="shared" ref="A195:A205" si="3">B195&amp;C195</f>
        <v>South Carolina2004</v>
      </c>
      <c r="B195" s="2" t="s">
        <v>44</v>
      </c>
      <c r="C195" s="2">
        <v>2004</v>
      </c>
      <c r="D195" s="6">
        <v>4723723</v>
      </c>
      <c r="E195" s="6">
        <v>141711.69</v>
      </c>
      <c r="F195" s="51" t="str">
        <f>VLOOKUP(B195,'State Abbreviations'!$A$2:$B$52,2,0)</f>
        <v>SC</v>
      </c>
      <c r="G195" s="48">
        <f>IFERROR(VLOOKUP(A195,'State Income (2001-2004)'!$A:$D,4,0),"NO INCOME DATA")</f>
        <v>28352</v>
      </c>
    </row>
    <row r="196" spans="1:7" x14ac:dyDescent="0.25">
      <c r="A196" t="str">
        <f t="shared" si="3"/>
        <v>South Dakota2004</v>
      </c>
      <c r="B196" s="2" t="s">
        <v>45</v>
      </c>
      <c r="C196" s="2">
        <v>2004</v>
      </c>
      <c r="D196" s="6">
        <v>833354</v>
      </c>
      <c r="E196" s="6">
        <v>33334.160000000003</v>
      </c>
      <c r="F196" s="51" t="str">
        <f>VLOOKUP(B196,'State Abbreviations'!$A$2:$B$52,2,0)</f>
        <v>SD</v>
      </c>
      <c r="G196" s="48">
        <f>IFERROR(VLOOKUP(A196,'State Income (2001-2004)'!$A:$D,4,0),"NO INCOME DATA")</f>
        <v>31614</v>
      </c>
    </row>
    <row r="197" spans="1:7" x14ac:dyDescent="0.25">
      <c r="A197" t="str">
        <f t="shared" si="3"/>
        <v>Tennessee2004</v>
      </c>
      <c r="B197" s="2" t="s">
        <v>46</v>
      </c>
      <c r="C197" s="2">
        <v>2004</v>
      </c>
      <c r="D197" s="6">
        <v>6456243</v>
      </c>
      <c r="E197" s="6">
        <v>258249.72</v>
      </c>
      <c r="F197" s="51" t="str">
        <f>VLOOKUP(B197,'State Abbreviations'!$A$2:$B$52,2,0)</f>
        <v>TN</v>
      </c>
      <c r="G197" s="48">
        <f>IFERROR(VLOOKUP(A197,'State Income (2001-2004)'!$A:$D,4,0),"NO INCOME DATA")</f>
        <v>31107</v>
      </c>
    </row>
    <row r="198" spans="1:7" x14ac:dyDescent="0.25">
      <c r="A198" t="str">
        <f t="shared" si="3"/>
        <v>Texas2004</v>
      </c>
      <c r="B198" s="2" t="s">
        <v>47</v>
      </c>
      <c r="C198" s="2">
        <v>2004</v>
      </c>
      <c r="D198" s="6">
        <v>26059203</v>
      </c>
      <c r="E198" s="6">
        <v>1042368.12</v>
      </c>
      <c r="F198" s="51" t="str">
        <f>VLOOKUP(B198,'State Abbreviations'!$A$2:$B$52,2,0)</f>
        <v>TX</v>
      </c>
      <c r="G198" s="48">
        <f>IFERROR(VLOOKUP(A198,'State Income (2001-2004)'!$A:$D,4,0),"NO INCOME DATA")</f>
        <v>32462</v>
      </c>
    </row>
    <row r="199" spans="1:7" x14ac:dyDescent="0.25">
      <c r="A199" t="str">
        <f t="shared" si="3"/>
        <v>Utah2004</v>
      </c>
      <c r="B199" s="2" t="s">
        <v>48</v>
      </c>
      <c r="C199" s="2">
        <v>2004</v>
      </c>
      <c r="D199" s="6">
        <v>2855287</v>
      </c>
      <c r="E199" s="6">
        <v>114211.48</v>
      </c>
      <c r="F199" s="51" t="str">
        <f>VLOOKUP(B199,'State Abbreviations'!$A$2:$B$52,2,0)</f>
        <v>UT</v>
      </c>
      <c r="G199" s="48" t="str">
        <f>IFERROR(VLOOKUP(A199,'State Income (2001-2004)'!$A:$D,4,0),"NO INCOME DATA")</f>
        <v>NO INCOME DATA</v>
      </c>
    </row>
    <row r="200" spans="1:7" x14ac:dyDescent="0.25">
      <c r="A200" t="str">
        <f t="shared" si="3"/>
        <v>Vermont2004</v>
      </c>
      <c r="B200" s="2" t="s">
        <v>49</v>
      </c>
      <c r="C200" s="2">
        <v>2004</v>
      </c>
      <c r="D200" s="6">
        <v>626011</v>
      </c>
      <c r="E200" s="6">
        <v>25040.440000000002</v>
      </c>
      <c r="F200" s="51" t="str">
        <f>VLOOKUP(B200,'State Abbreviations'!$A$2:$B$52,2,0)</f>
        <v>VT</v>
      </c>
      <c r="G200" s="48">
        <f>IFERROR(VLOOKUP(A200,'State Income (2001-2004)'!$A:$D,4,0),"NO INCOME DATA")</f>
        <v>33327</v>
      </c>
    </row>
    <row r="201" spans="1:7" x14ac:dyDescent="0.25">
      <c r="A201" t="str">
        <f t="shared" si="3"/>
        <v>Virginia2004</v>
      </c>
      <c r="B201" s="2" t="s">
        <v>50</v>
      </c>
      <c r="C201" s="2">
        <v>2004</v>
      </c>
      <c r="D201" s="6">
        <v>8185867</v>
      </c>
      <c r="E201" s="6">
        <v>163717.34</v>
      </c>
      <c r="F201" s="51" t="str">
        <f>VLOOKUP(B201,'State Abbreviations'!$A$2:$B$52,2,0)</f>
        <v>VA</v>
      </c>
      <c r="G201" s="48">
        <f>IFERROR(VLOOKUP(A201,'State Income (2001-2004)'!$A:$D,4,0),"NO INCOME DATA")</f>
        <v>38390</v>
      </c>
    </row>
    <row r="202" spans="1:7" x14ac:dyDescent="0.25">
      <c r="A202" t="str">
        <f t="shared" si="3"/>
        <v>Washington2004</v>
      </c>
      <c r="B202" s="2" t="s">
        <v>51</v>
      </c>
      <c r="C202" s="2">
        <v>2004</v>
      </c>
      <c r="D202" s="6">
        <v>6897012</v>
      </c>
      <c r="E202" s="6">
        <v>137940.24</v>
      </c>
      <c r="F202" s="51" t="str">
        <f>VLOOKUP(B202,'State Abbreviations'!$A$2:$B$52,2,0)</f>
        <v>WA</v>
      </c>
      <c r="G202" s="48">
        <f>IFERROR(VLOOKUP(A202,'State Income (2001-2004)'!$A:$D,4,0),"NO INCOME DATA")</f>
        <v>35409</v>
      </c>
    </row>
    <row r="203" spans="1:7" x14ac:dyDescent="0.25">
      <c r="A203" t="str">
        <f t="shared" si="3"/>
        <v>West Virginia2004</v>
      </c>
      <c r="B203" s="2" t="s">
        <v>52</v>
      </c>
      <c r="C203" s="2">
        <v>2004</v>
      </c>
      <c r="D203" s="6">
        <v>1855413</v>
      </c>
      <c r="E203" s="6">
        <v>74216.52</v>
      </c>
      <c r="F203" s="51" t="str">
        <f>VLOOKUP(B203,'State Abbreviations'!$A$2:$B$52,2,0)</f>
        <v>WV</v>
      </c>
      <c r="G203" s="48">
        <f>IFERROR(VLOOKUP(A203,'State Income (2001-2004)'!$A:$D,4,0),"NO INCOME DATA")</f>
        <v>27215</v>
      </c>
    </row>
    <row r="204" spans="1:7" x14ac:dyDescent="0.25">
      <c r="A204" t="str">
        <f t="shared" si="3"/>
        <v>Wisconsin2004</v>
      </c>
      <c r="B204" s="2" t="s">
        <v>53</v>
      </c>
      <c r="C204" s="2">
        <v>2004</v>
      </c>
      <c r="D204" s="6">
        <v>5726398</v>
      </c>
      <c r="E204" s="6">
        <v>114527.96</v>
      </c>
      <c r="F204" s="51" t="str">
        <f>VLOOKUP(B204,'State Abbreviations'!$A$2:$B$52,2,0)</f>
        <v>WI</v>
      </c>
      <c r="G204" s="48">
        <f>IFERROR(VLOOKUP(A204,'State Income (2001-2004)'!$A:$D,4,0),"NO INCOME DATA")</f>
        <v>33565</v>
      </c>
    </row>
    <row r="205" spans="1:7" x14ac:dyDescent="0.25">
      <c r="A205" t="str">
        <f t="shared" si="3"/>
        <v>Wyoming2004</v>
      </c>
      <c r="B205" s="2" t="s">
        <v>54</v>
      </c>
      <c r="C205" s="2">
        <v>2004</v>
      </c>
      <c r="D205" s="6">
        <v>576412</v>
      </c>
      <c r="E205" s="6">
        <v>11528.24</v>
      </c>
      <c r="F205" s="51" t="str">
        <f>VLOOKUP(B205,'State Abbreviations'!$A$2:$B$52,2,0)</f>
        <v>WY</v>
      </c>
      <c r="G205" s="48">
        <f>IFERROR(VLOOKUP(A205,'State Income (2001-2004)'!$A:$D,4,0),"NO INCOME DATA")</f>
        <v>36778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B52"/>
  <sheetViews>
    <sheetView topLeftCell="A32" workbookViewId="0">
      <selection activeCell="G27" sqref="G27"/>
    </sheetView>
  </sheetViews>
  <sheetFormatPr defaultColWidth="8.7109375" defaultRowHeight="15" x14ac:dyDescent="0.25"/>
  <cols>
    <col min="1" max="1" width="17.42578125" style="2" customWidth="1"/>
    <col min="2" max="2" width="16.7109375" style="2" customWidth="1"/>
  </cols>
  <sheetData>
    <row r="1" spans="1:2" ht="25.5" x14ac:dyDescent="0.25">
      <c r="A1" s="4" t="s">
        <v>0</v>
      </c>
      <c r="B1" s="14" t="s">
        <v>134</v>
      </c>
    </row>
    <row r="2" spans="1:2" x14ac:dyDescent="0.25">
      <c r="A2" s="2" t="s">
        <v>4</v>
      </c>
      <c r="B2" s="16" t="s">
        <v>67</v>
      </c>
    </row>
    <row r="3" spans="1:2" x14ac:dyDescent="0.25">
      <c r="A3" s="2" t="s">
        <v>5</v>
      </c>
      <c r="B3" s="16" t="s">
        <v>105</v>
      </c>
    </row>
    <row r="4" spans="1:2" x14ac:dyDescent="0.25">
      <c r="A4" s="2" t="s">
        <v>6</v>
      </c>
      <c r="B4" s="16" t="s">
        <v>94</v>
      </c>
    </row>
    <row r="5" spans="1:2" x14ac:dyDescent="0.25">
      <c r="A5" s="2" t="s">
        <v>7</v>
      </c>
      <c r="B5" s="16" t="s">
        <v>115</v>
      </c>
    </row>
    <row r="6" spans="1:2" x14ac:dyDescent="0.25">
      <c r="A6" s="2" t="s">
        <v>8</v>
      </c>
      <c r="B6" s="16" t="s">
        <v>58</v>
      </c>
    </row>
    <row r="7" spans="1:2" x14ac:dyDescent="0.25">
      <c r="A7" s="2" t="s">
        <v>9</v>
      </c>
      <c r="B7" s="16" t="s">
        <v>96</v>
      </c>
    </row>
    <row r="8" spans="1:2" x14ac:dyDescent="0.25">
      <c r="A8" s="2" t="s">
        <v>10</v>
      </c>
      <c r="B8" s="16" t="s">
        <v>119</v>
      </c>
    </row>
    <row r="9" spans="1:2" x14ac:dyDescent="0.25">
      <c r="A9" s="2" t="s">
        <v>11</v>
      </c>
      <c r="B9" s="16" t="s">
        <v>117</v>
      </c>
    </row>
    <row r="10" spans="1:2" x14ac:dyDescent="0.25">
      <c r="A10" s="2" t="s">
        <v>12</v>
      </c>
      <c r="B10" s="16" t="s">
        <v>116</v>
      </c>
    </row>
    <row r="11" spans="1:2" x14ac:dyDescent="0.25">
      <c r="A11" s="2" t="s">
        <v>13</v>
      </c>
      <c r="B11" s="16" t="s">
        <v>79</v>
      </c>
    </row>
    <row r="12" spans="1:2" x14ac:dyDescent="0.25">
      <c r="A12" s="2" t="s">
        <v>14</v>
      </c>
      <c r="B12" s="16" t="s">
        <v>84</v>
      </c>
    </row>
    <row r="13" spans="1:2" x14ac:dyDescent="0.25">
      <c r="A13" s="2" t="s">
        <v>15</v>
      </c>
      <c r="B13" s="16" t="s">
        <v>113</v>
      </c>
    </row>
    <row r="14" spans="1:2" x14ac:dyDescent="0.25">
      <c r="A14" s="2" t="s">
        <v>16</v>
      </c>
      <c r="B14" s="16" t="s">
        <v>90</v>
      </c>
    </row>
    <row r="15" spans="1:2" x14ac:dyDescent="0.25">
      <c r="A15" s="2" t="s">
        <v>17</v>
      </c>
      <c r="B15" s="16" t="s">
        <v>57</v>
      </c>
    </row>
    <row r="16" spans="1:2" x14ac:dyDescent="0.25">
      <c r="A16" s="2" t="s">
        <v>18</v>
      </c>
      <c r="B16" s="16" t="s">
        <v>99</v>
      </c>
    </row>
    <row r="17" spans="1:2" x14ac:dyDescent="0.25">
      <c r="A17" s="2" t="s">
        <v>19</v>
      </c>
      <c r="B17" s="16" t="s">
        <v>102</v>
      </c>
    </row>
    <row r="18" spans="1:2" x14ac:dyDescent="0.25">
      <c r="A18" s="2" t="s">
        <v>20</v>
      </c>
      <c r="B18" s="16" t="s">
        <v>110</v>
      </c>
    </row>
    <row r="19" spans="1:2" x14ac:dyDescent="0.25">
      <c r="A19" s="2" t="s">
        <v>21</v>
      </c>
      <c r="B19" s="16" t="s">
        <v>103</v>
      </c>
    </row>
    <row r="20" spans="1:2" x14ac:dyDescent="0.25">
      <c r="A20" s="2" t="s">
        <v>22</v>
      </c>
      <c r="B20" s="16" t="s">
        <v>63</v>
      </c>
    </row>
    <row r="21" spans="1:2" x14ac:dyDescent="0.25">
      <c r="A21" s="2" t="s">
        <v>23</v>
      </c>
      <c r="B21" s="16" t="s">
        <v>111</v>
      </c>
    </row>
    <row r="22" spans="1:2" x14ac:dyDescent="0.25">
      <c r="A22" s="2" t="s">
        <v>24</v>
      </c>
      <c r="B22" s="16" t="s">
        <v>95</v>
      </c>
    </row>
    <row r="23" spans="1:2" x14ac:dyDescent="0.25">
      <c r="A23" s="2" t="s">
        <v>25</v>
      </c>
      <c r="B23" s="16" t="s">
        <v>86</v>
      </c>
    </row>
    <row r="24" spans="1:2" x14ac:dyDescent="0.25">
      <c r="A24" s="2" t="s">
        <v>26</v>
      </c>
      <c r="B24" s="16" t="s">
        <v>74</v>
      </c>
    </row>
    <row r="25" spans="1:2" x14ac:dyDescent="0.25">
      <c r="A25" s="2" t="s">
        <v>27</v>
      </c>
      <c r="B25" s="16" t="s">
        <v>89</v>
      </c>
    </row>
    <row r="26" spans="1:2" x14ac:dyDescent="0.25">
      <c r="A26" s="2" t="s">
        <v>28</v>
      </c>
      <c r="B26" s="16" t="s">
        <v>100</v>
      </c>
    </row>
    <row r="27" spans="1:2" x14ac:dyDescent="0.25">
      <c r="A27" s="2" t="s">
        <v>29</v>
      </c>
      <c r="B27" s="16" t="s">
        <v>92</v>
      </c>
    </row>
    <row r="28" spans="1:2" x14ac:dyDescent="0.25">
      <c r="A28" s="2" t="s">
        <v>30</v>
      </c>
      <c r="B28" s="16" t="s">
        <v>114</v>
      </c>
    </row>
    <row r="29" spans="1:2" x14ac:dyDescent="0.25">
      <c r="A29" s="2" t="s">
        <v>31</v>
      </c>
      <c r="B29" s="16" t="s">
        <v>80</v>
      </c>
    </row>
    <row r="30" spans="1:2" x14ac:dyDescent="0.25">
      <c r="A30" s="2" t="s">
        <v>32</v>
      </c>
      <c r="B30" s="16" t="s">
        <v>118</v>
      </c>
    </row>
    <row r="31" spans="1:2" x14ac:dyDescent="0.25">
      <c r="A31" s="2" t="s">
        <v>33</v>
      </c>
      <c r="B31" s="16" t="s">
        <v>104</v>
      </c>
    </row>
    <row r="32" spans="1:2" x14ac:dyDescent="0.25">
      <c r="A32" s="2" t="s">
        <v>34</v>
      </c>
      <c r="B32" s="16" t="s">
        <v>59</v>
      </c>
    </row>
    <row r="33" spans="1:2" x14ac:dyDescent="0.25">
      <c r="A33" s="2" t="s">
        <v>35</v>
      </c>
      <c r="B33" s="16" t="s">
        <v>121</v>
      </c>
    </row>
    <row r="34" spans="1:2" x14ac:dyDescent="0.25">
      <c r="A34" s="2" t="s">
        <v>36</v>
      </c>
      <c r="B34" s="16" t="s">
        <v>68</v>
      </c>
    </row>
    <row r="35" spans="1:2" x14ac:dyDescent="0.25">
      <c r="A35" s="2" t="s">
        <v>37</v>
      </c>
      <c r="B35" s="16" t="s">
        <v>85</v>
      </c>
    </row>
    <row r="36" spans="1:2" x14ac:dyDescent="0.25">
      <c r="A36" s="2" t="s">
        <v>38</v>
      </c>
      <c r="B36" s="16" t="s">
        <v>107</v>
      </c>
    </row>
    <row r="37" spans="1:2" x14ac:dyDescent="0.25">
      <c r="A37" s="2" t="s">
        <v>39</v>
      </c>
      <c r="B37" s="16" t="s">
        <v>88</v>
      </c>
    </row>
    <row r="38" spans="1:2" x14ac:dyDescent="0.25">
      <c r="A38" s="2" t="s">
        <v>40</v>
      </c>
      <c r="B38" s="16" t="s">
        <v>97</v>
      </c>
    </row>
    <row r="39" spans="1:2" x14ac:dyDescent="0.25">
      <c r="A39" s="2" t="s">
        <v>41</v>
      </c>
      <c r="B39" s="16" t="s">
        <v>64</v>
      </c>
    </row>
    <row r="40" spans="1:2" x14ac:dyDescent="0.25">
      <c r="A40" s="2" t="s">
        <v>42</v>
      </c>
      <c r="B40" s="16" t="s">
        <v>101</v>
      </c>
    </row>
    <row r="41" spans="1:2" x14ac:dyDescent="0.25">
      <c r="A41" s="2" t="s">
        <v>43</v>
      </c>
      <c r="B41" s="16" t="s">
        <v>71</v>
      </c>
    </row>
    <row r="42" spans="1:2" x14ac:dyDescent="0.25">
      <c r="A42" s="2" t="s">
        <v>44</v>
      </c>
      <c r="B42" s="16" t="s">
        <v>112</v>
      </c>
    </row>
    <row r="43" spans="1:2" x14ac:dyDescent="0.25">
      <c r="A43" s="2" t="s">
        <v>45</v>
      </c>
      <c r="B43" s="16" t="s">
        <v>98</v>
      </c>
    </row>
    <row r="44" spans="1:2" x14ac:dyDescent="0.25">
      <c r="A44" s="2" t="s">
        <v>46</v>
      </c>
      <c r="B44" s="16" t="s">
        <v>76</v>
      </c>
    </row>
    <row r="45" spans="1:2" x14ac:dyDescent="0.25">
      <c r="A45" s="2" t="s">
        <v>47</v>
      </c>
      <c r="B45" s="16" t="s">
        <v>66</v>
      </c>
    </row>
    <row r="46" spans="1:2" x14ac:dyDescent="0.25">
      <c r="A46" s="2" t="s">
        <v>48</v>
      </c>
      <c r="B46" s="16" t="s">
        <v>82</v>
      </c>
    </row>
    <row r="47" spans="1:2" x14ac:dyDescent="0.25">
      <c r="A47" s="2" t="s">
        <v>49</v>
      </c>
      <c r="B47" s="16" t="s">
        <v>106</v>
      </c>
    </row>
    <row r="48" spans="1:2" x14ac:dyDescent="0.25">
      <c r="A48" s="2" t="s">
        <v>50</v>
      </c>
      <c r="B48" s="16" t="s">
        <v>61</v>
      </c>
    </row>
    <row r="49" spans="1:2" x14ac:dyDescent="0.25">
      <c r="A49" s="2" t="s">
        <v>51</v>
      </c>
      <c r="B49" s="16" t="s">
        <v>109</v>
      </c>
    </row>
    <row r="50" spans="1:2" x14ac:dyDescent="0.25">
      <c r="A50" s="2" t="s">
        <v>52</v>
      </c>
      <c r="B50" s="16" t="s">
        <v>83</v>
      </c>
    </row>
    <row r="51" spans="1:2" x14ac:dyDescent="0.25">
      <c r="A51" s="2" t="s">
        <v>53</v>
      </c>
      <c r="B51" s="16" t="s">
        <v>73</v>
      </c>
    </row>
    <row r="52" spans="1:2" x14ac:dyDescent="0.25">
      <c r="A52" s="2" t="s">
        <v>54</v>
      </c>
      <c r="B52" s="16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190"/>
  <sheetViews>
    <sheetView workbookViewId="0">
      <selection activeCell="A18" sqref="A18"/>
    </sheetView>
  </sheetViews>
  <sheetFormatPr defaultColWidth="8.7109375" defaultRowHeight="15" x14ac:dyDescent="0.25"/>
  <cols>
    <col min="1" max="1" width="19" customWidth="1"/>
    <col min="2" max="2" width="18.140625" customWidth="1"/>
    <col min="3" max="3" width="18.140625" style="2" customWidth="1"/>
    <col min="4" max="4" width="22.7109375" customWidth="1"/>
  </cols>
  <sheetData>
    <row r="1" spans="1:4" x14ac:dyDescent="0.25">
      <c r="A1" s="60" t="s">
        <v>254</v>
      </c>
      <c r="B1" s="4" t="s">
        <v>0</v>
      </c>
      <c r="C1" s="4" t="s">
        <v>1</v>
      </c>
      <c r="D1" s="17" t="s">
        <v>135</v>
      </c>
    </row>
    <row r="2" spans="1:4" x14ac:dyDescent="0.25">
      <c r="A2" t="str">
        <f>CONCATENATE(B2,C2)</f>
        <v>Alabama2001</v>
      </c>
      <c r="B2" t="s">
        <v>4</v>
      </c>
      <c r="C2" s="2">
        <v>2001</v>
      </c>
      <c r="D2" s="18">
        <v>24477</v>
      </c>
    </row>
    <row r="3" spans="1:4" x14ac:dyDescent="0.25">
      <c r="A3" t="str">
        <f t="shared" ref="A3:A66" si="0">CONCATENATE(B3,C3)</f>
        <v>Alaska2001</v>
      </c>
      <c r="B3" t="s">
        <v>5</v>
      </c>
      <c r="C3" s="2">
        <v>2001</v>
      </c>
      <c r="D3" s="18">
        <v>31027</v>
      </c>
    </row>
    <row r="4" spans="1:4" x14ac:dyDescent="0.25">
      <c r="A4" t="str">
        <f t="shared" si="0"/>
        <v>Arizona2001</v>
      </c>
      <c r="B4" t="s">
        <v>6</v>
      </c>
      <c r="C4" s="2">
        <v>2001</v>
      </c>
      <c r="D4" s="18">
        <v>25878</v>
      </c>
    </row>
    <row r="5" spans="1:4" x14ac:dyDescent="0.25">
      <c r="A5" t="str">
        <f t="shared" si="0"/>
        <v>Arkansas2001</v>
      </c>
      <c r="B5" t="s">
        <v>7</v>
      </c>
      <c r="C5" s="2">
        <v>2001</v>
      </c>
      <c r="D5" s="18">
        <v>22750</v>
      </c>
    </row>
    <row r="6" spans="1:4" x14ac:dyDescent="0.25">
      <c r="A6" t="str">
        <f t="shared" si="0"/>
        <v>California2001</v>
      </c>
      <c r="B6" t="s">
        <v>8</v>
      </c>
      <c r="C6" s="2">
        <v>2001</v>
      </c>
      <c r="D6" s="18">
        <v>32655</v>
      </c>
    </row>
    <row r="7" spans="1:4" x14ac:dyDescent="0.25">
      <c r="A7" t="str">
        <f t="shared" si="0"/>
        <v>Colorado2001</v>
      </c>
      <c r="B7" t="s">
        <v>9</v>
      </c>
      <c r="C7" s="2">
        <v>2001</v>
      </c>
      <c r="D7" s="18">
        <v>33455</v>
      </c>
    </row>
    <row r="8" spans="1:4" x14ac:dyDescent="0.25">
      <c r="A8" t="str">
        <f t="shared" si="0"/>
        <v>D.C.2001</v>
      </c>
      <c r="B8" t="s">
        <v>11</v>
      </c>
      <c r="C8" s="2">
        <v>2001</v>
      </c>
      <c r="D8" s="18">
        <v>32166</v>
      </c>
    </row>
    <row r="9" spans="1:4" x14ac:dyDescent="0.25">
      <c r="A9" t="str">
        <f t="shared" si="0"/>
        <v>Delaware2001</v>
      </c>
      <c r="B9" t="s">
        <v>12</v>
      </c>
      <c r="C9" s="2">
        <v>2001</v>
      </c>
      <c r="D9" s="18">
        <v>40539</v>
      </c>
    </row>
    <row r="10" spans="1:4" x14ac:dyDescent="0.25">
      <c r="A10" t="str">
        <f t="shared" si="0"/>
        <v>Florida2001</v>
      </c>
      <c r="B10" t="s">
        <v>13</v>
      </c>
      <c r="C10" s="2">
        <v>2001</v>
      </c>
      <c r="D10" s="18">
        <v>29048</v>
      </c>
    </row>
    <row r="11" spans="1:4" x14ac:dyDescent="0.25">
      <c r="A11" t="str">
        <f t="shared" si="0"/>
        <v>Georgia2001</v>
      </c>
      <c r="B11" t="s">
        <v>14</v>
      </c>
      <c r="C11" s="2">
        <v>2001</v>
      </c>
      <c r="D11" s="18">
        <v>28523</v>
      </c>
    </row>
    <row r="12" spans="1:4" x14ac:dyDescent="0.25">
      <c r="A12" t="str">
        <f t="shared" si="0"/>
        <v>Hawaii2001</v>
      </c>
      <c r="B12" t="s">
        <v>15</v>
      </c>
      <c r="C12" s="2">
        <v>2001</v>
      </c>
      <c r="D12" s="18">
        <v>29034</v>
      </c>
    </row>
    <row r="13" spans="1:4" x14ac:dyDescent="0.25">
      <c r="A13" t="str">
        <f t="shared" si="0"/>
        <v>Idaho2001</v>
      </c>
      <c r="B13" t="s">
        <v>16</v>
      </c>
      <c r="C13" s="2">
        <v>2001</v>
      </c>
      <c r="D13" s="18">
        <v>24506</v>
      </c>
    </row>
    <row r="14" spans="1:4" x14ac:dyDescent="0.25">
      <c r="A14" t="str">
        <f t="shared" si="0"/>
        <v>Indiana2001</v>
      </c>
      <c r="B14" t="s">
        <v>18</v>
      </c>
      <c r="C14" s="2">
        <v>2001</v>
      </c>
      <c r="D14" s="18">
        <v>27522</v>
      </c>
    </row>
    <row r="15" spans="1:4" x14ac:dyDescent="0.25">
      <c r="A15" t="str">
        <f t="shared" si="0"/>
        <v>Iowa2001</v>
      </c>
      <c r="B15" t="s">
        <v>19</v>
      </c>
      <c r="C15" s="2">
        <v>2001</v>
      </c>
      <c r="D15" s="18">
        <v>27225</v>
      </c>
    </row>
    <row r="16" spans="1:4" x14ac:dyDescent="0.25">
      <c r="A16" t="str">
        <f t="shared" si="0"/>
        <v>Kansas2001</v>
      </c>
      <c r="B16" t="s">
        <v>20</v>
      </c>
      <c r="C16" s="2">
        <v>2001</v>
      </c>
      <c r="D16" s="18">
        <v>28432</v>
      </c>
    </row>
    <row r="17" spans="1:4" x14ac:dyDescent="0.25">
      <c r="A17" t="str">
        <f t="shared" si="0"/>
        <v>Maryland2001</v>
      </c>
      <c r="B17" t="s">
        <v>24</v>
      </c>
      <c r="C17" s="2">
        <v>2001</v>
      </c>
      <c r="D17" s="18">
        <v>35279</v>
      </c>
    </row>
    <row r="18" spans="1:4" x14ac:dyDescent="0.25">
      <c r="A18" t="str">
        <f t="shared" si="0"/>
        <v>Massachusetts2001</v>
      </c>
      <c r="B18" t="s">
        <v>25</v>
      </c>
      <c r="C18" s="2">
        <v>2001</v>
      </c>
      <c r="D18" s="18">
        <v>38864</v>
      </c>
    </row>
    <row r="19" spans="1:4" x14ac:dyDescent="0.25">
      <c r="A19" t="str">
        <f t="shared" si="0"/>
        <v>Michigan2001</v>
      </c>
      <c r="B19" t="s">
        <v>26</v>
      </c>
      <c r="C19" s="2">
        <v>2001</v>
      </c>
      <c r="D19" s="18">
        <v>29629</v>
      </c>
    </row>
    <row r="20" spans="1:4" x14ac:dyDescent="0.25">
      <c r="A20" t="str">
        <f t="shared" si="0"/>
        <v>Minnesota2001</v>
      </c>
      <c r="B20" t="s">
        <v>27</v>
      </c>
      <c r="C20" s="2">
        <v>2001</v>
      </c>
      <c r="D20" s="18">
        <v>33059</v>
      </c>
    </row>
    <row r="21" spans="1:4" x14ac:dyDescent="0.25">
      <c r="A21" t="str">
        <f t="shared" si="0"/>
        <v>Mississippi2001</v>
      </c>
      <c r="B21" t="s">
        <v>28</v>
      </c>
      <c r="C21" s="2">
        <v>2001</v>
      </c>
      <c r="D21" s="18">
        <v>21653</v>
      </c>
    </row>
    <row r="22" spans="1:4" x14ac:dyDescent="0.25">
      <c r="A22" t="str">
        <f t="shared" si="0"/>
        <v>Missouri2001</v>
      </c>
      <c r="B22" t="s">
        <v>29</v>
      </c>
      <c r="C22" s="2">
        <v>2001</v>
      </c>
      <c r="D22" s="18">
        <v>28221</v>
      </c>
    </row>
    <row r="23" spans="1:4" x14ac:dyDescent="0.25">
      <c r="A23" t="str">
        <f t="shared" si="0"/>
        <v>Montana2001</v>
      </c>
      <c r="B23" t="s">
        <v>30</v>
      </c>
      <c r="C23" s="2">
        <v>2001</v>
      </c>
      <c r="D23" s="18">
        <v>24044</v>
      </c>
    </row>
    <row r="24" spans="1:4" x14ac:dyDescent="0.25">
      <c r="A24" t="str">
        <f t="shared" si="0"/>
        <v>Nebraska2001</v>
      </c>
      <c r="B24" t="s">
        <v>31</v>
      </c>
      <c r="C24" s="2">
        <v>2001</v>
      </c>
      <c r="D24" s="18">
        <v>28861</v>
      </c>
    </row>
    <row r="25" spans="1:4" x14ac:dyDescent="0.25">
      <c r="A25" t="str">
        <f t="shared" si="0"/>
        <v>Nevada2001</v>
      </c>
      <c r="B25" t="s">
        <v>32</v>
      </c>
      <c r="C25" s="2">
        <v>2001</v>
      </c>
      <c r="D25" s="18">
        <v>30128</v>
      </c>
    </row>
    <row r="26" spans="1:4" x14ac:dyDescent="0.25">
      <c r="A26" t="str">
        <f t="shared" si="0"/>
        <v>New Hampshire2001</v>
      </c>
      <c r="B26" t="s">
        <v>33</v>
      </c>
      <c r="C26" s="2">
        <v>2001</v>
      </c>
      <c r="D26" s="18">
        <v>33969</v>
      </c>
    </row>
    <row r="27" spans="1:4" x14ac:dyDescent="0.25">
      <c r="A27" t="str">
        <f t="shared" si="0"/>
        <v>New Jersey2001</v>
      </c>
      <c r="B27" t="s">
        <v>34</v>
      </c>
      <c r="C27" s="2">
        <v>2001</v>
      </c>
      <c r="D27" s="18">
        <v>38625</v>
      </c>
    </row>
    <row r="28" spans="1:4" x14ac:dyDescent="0.25">
      <c r="A28" t="str">
        <f t="shared" si="0"/>
        <v>New Mexico2001</v>
      </c>
      <c r="B28" t="s">
        <v>35</v>
      </c>
      <c r="C28" s="2">
        <v>2001</v>
      </c>
      <c r="D28" s="18">
        <v>23081</v>
      </c>
    </row>
    <row r="29" spans="1:4" x14ac:dyDescent="0.25">
      <c r="A29" t="str">
        <f t="shared" si="0"/>
        <v>New York2001</v>
      </c>
      <c r="B29" t="s">
        <v>36</v>
      </c>
      <c r="C29" s="2">
        <v>2001</v>
      </c>
      <c r="D29" s="18">
        <v>35878</v>
      </c>
    </row>
    <row r="30" spans="1:4" x14ac:dyDescent="0.25">
      <c r="A30" t="str">
        <f t="shared" si="0"/>
        <v>North Carolina2001</v>
      </c>
      <c r="B30" t="s">
        <v>37</v>
      </c>
      <c r="C30" s="2">
        <v>2001</v>
      </c>
      <c r="D30" s="18">
        <v>27308</v>
      </c>
    </row>
    <row r="31" spans="1:4" x14ac:dyDescent="0.25">
      <c r="A31" t="str">
        <f t="shared" si="0"/>
        <v>North Dakota2001</v>
      </c>
      <c r="B31" t="s">
        <v>38</v>
      </c>
      <c r="C31" s="2">
        <v>2001</v>
      </c>
      <c r="D31" s="18">
        <v>25798</v>
      </c>
    </row>
    <row r="32" spans="1:4" x14ac:dyDescent="0.25">
      <c r="A32" t="str">
        <f t="shared" si="0"/>
        <v>Ohio2001</v>
      </c>
      <c r="B32" t="s">
        <v>39</v>
      </c>
      <c r="C32" s="2">
        <v>2001</v>
      </c>
      <c r="D32" s="18">
        <v>28699</v>
      </c>
    </row>
    <row r="33" spans="1:4" x14ac:dyDescent="0.25">
      <c r="A33" t="str">
        <f t="shared" si="0"/>
        <v>Oklahoma2001</v>
      </c>
      <c r="B33" t="s">
        <v>40</v>
      </c>
      <c r="C33" s="2">
        <v>2001</v>
      </c>
      <c r="D33" s="18">
        <v>24945</v>
      </c>
    </row>
    <row r="34" spans="1:4" x14ac:dyDescent="0.25">
      <c r="A34" t="str">
        <f t="shared" si="0"/>
        <v>Oregon2001</v>
      </c>
      <c r="B34" t="s">
        <v>41</v>
      </c>
      <c r="C34" s="2">
        <v>2001</v>
      </c>
      <c r="D34" s="18">
        <v>28222</v>
      </c>
    </row>
    <row r="35" spans="1:4" x14ac:dyDescent="0.25">
      <c r="A35" t="str">
        <f t="shared" si="0"/>
        <v>Pennsylvania2001</v>
      </c>
      <c r="B35" t="s">
        <v>42</v>
      </c>
      <c r="C35" s="2">
        <v>2001</v>
      </c>
      <c r="D35" s="18">
        <v>30752</v>
      </c>
    </row>
    <row r="36" spans="1:4" x14ac:dyDescent="0.25">
      <c r="A36" t="str">
        <f t="shared" si="0"/>
        <v>Rhode Island2001</v>
      </c>
      <c r="B36" t="s">
        <v>43</v>
      </c>
      <c r="C36" s="2">
        <v>2001</v>
      </c>
      <c r="D36" s="18">
        <v>30256</v>
      </c>
    </row>
    <row r="37" spans="1:4" x14ac:dyDescent="0.25">
      <c r="A37" t="str">
        <f t="shared" si="0"/>
        <v>South Carolina2001</v>
      </c>
      <c r="B37" t="s">
        <v>44</v>
      </c>
      <c r="C37" s="2">
        <v>2001</v>
      </c>
      <c r="D37" s="18">
        <v>24840</v>
      </c>
    </row>
    <row r="38" spans="1:4" x14ac:dyDescent="0.25">
      <c r="A38" t="str">
        <f t="shared" si="0"/>
        <v>South Dakota2001</v>
      </c>
      <c r="B38" t="s">
        <v>45</v>
      </c>
      <c r="C38" s="2">
        <v>2001</v>
      </c>
      <c r="D38" s="18">
        <v>26566</v>
      </c>
    </row>
    <row r="39" spans="1:4" x14ac:dyDescent="0.25">
      <c r="A39" t="str">
        <f t="shared" si="0"/>
        <v>Tennessee2001</v>
      </c>
      <c r="B39" t="s">
        <v>46</v>
      </c>
      <c r="C39" s="2">
        <v>2001</v>
      </c>
      <c r="D39" s="18">
        <v>26808</v>
      </c>
    </row>
    <row r="40" spans="1:4" x14ac:dyDescent="0.25">
      <c r="A40" t="str">
        <f t="shared" si="0"/>
        <v>Texas2001</v>
      </c>
      <c r="B40" t="s">
        <v>47</v>
      </c>
      <c r="C40" s="2">
        <v>2001</v>
      </c>
      <c r="D40" s="18">
        <v>28472</v>
      </c>
    </row>
    <row r="41" spans="1:4" x14ac:dyDescent="0.25">
      <c r="A41" t="str">
        <f t="shared" si="0"/>
        <v>Utah2001</v>
      </c>
      <c r="B41" t="s">
        <v>48</v>
      </c>
      <c r="C41" s="2">
        <v>2001</v>
      </c>
      <c r="D41" s="18">
        <v>24033</v>
      </c>
    </row>
    <row r="42" spans="1:4" x14ac:dyDescent="0.25">
      <c r="A42" t="str">
        <f t="shared" si="0"/>
        <v>Vermont2001</v>
      </c>
      <c r="B42" t="s">
        <v>49</v>
      </c>
      <c r="C42" s="2">
        <v>2001</v>
      </c>
      <c r="D42" s="18">
        <v>28756</v>
      </c>
    </row>
    <row r="43" spans="1:4" x14ac:dyDescent="0.25">
      <c r="A43" t="str">
        <f t="shared" si="0"/>
        <v>Virginia2001</v>
      </c>
      <c r="B43" t="s">
        <v>50</v>
      </c>
      <c r="C43" s="2">
        <v>2001</v>
      </c>
      <c r="D43" s="18">
        <v>32338</v>
      </c>
    </row>
    <row r="44" spans="1:4" x14ac:dyDescent="0.25">
      <c r="A44" t="str">
        <f t="shared" si="0"/>
        <v>Washington2001</v>
      </c>
      <c r="B44" t="s">
        <v>51</v>
      </c>
      <c r="C44" s="2">
        <v>2001</v>
      </c>
      <c r="D44" s="18">
        <v>31976</v>
      </c>
    </row>
    <row r="45" spans="1:4" x14ac:dyDescent="0.25">
      <c r="A45" t="str">
        <f t="shared" si="0"/>
        <v>West Virginia2001</v>
      </c>
      <c r="B45" t="s">
        <v>52</v>
      </c>
      <c r="C45" s="2">
        <v>2001</v>
      </c>
      <c r="D45" s="18">
        <v>22862</v>
      </c>
    </row>
    <row r="46" spans="1:4" x14ac:dyDescent="0.25">
      <c r="A46" t="str">
        <f t="shared" si="0"/>
        <v>Wisconsin2001</v>
      </c>
      <c r="B46" t="s">
        <v>53</v>
      </c>
      <c r="C46" s="2">
        <v>2001</v>
      </c>
      <c r="D46" s="18">
        <v>29196</v>
      </c>
    </row>
    <row r="47" spans="1:4" x14ac:dyDescent="0.25">
      <c r="A47" t="str">
        <f t="shared" si="0"/>
        <v>Wyoming2001</v>
      </c>
      <c r="B47" t="s">
        <v>54</v>
      </c>
      <c r="C47" s="2">
        <v>2001</v>
      </c>
      <c r="D47" s="18">
        <v>29587</v>
      </c>
    </row>
    <row r="48" spans="1:4" x14ac:dyDescent="0.25">
      <c r="A48" t="str">
        <f t="shared" si="0"/>
        <v>Alabama2002</v>
      </c>
      <c r="B48" t="s">
        <v>4</v>
      </c>
      <c r="C48" s="2">
        <v>2002</v>
      </c>
      <c r="D48" s="18">
        <v>25128</v>
      </c>
    </row>
    <row r="49" spans="1:4" x14ac:dyDescent="0.25">
      <c r="A49" t="str">
        <f t="shared" si="0"/>
        <v>Alaska2002</v>
      </c>
      <c r="B49" t="s">
        <v>5</v>
      </c>
      <c r="C49" s="2">
        <v>2002</v>
      </c>
      <c r="D49" s="18">
        <v>32151</v>
      </c>
    </row>
    <row r="50" spans="1:4" x14ac:dyDescent="0.25">
      <c r="A50" t="str">
        <f t="shared" si="0"/>
        <v>Arizona2002</v>
      </c>
      <c r="B50" t="s">
        <v>6</v>
      </c>
      <c r="C50" s="2">
        <v>2002</v>
      </c>
      <c r="D50" s="18">
        <v>26183</v>
      </c>
    </row>
    <row r="51" spans="1:4" x14ac:dyDescent="0.25">
      <c r="A51" t="str">
        <f t="shared" si="0"/>
        <v>Arkansas2002</v>
      </c>
      <c r="B51" t="s">
        <v>7</v>
      </c>
      <c r="C51" s="2">
        <v>2002</v>
      </c>
      <c r="D51" s="18">
        <v>23512</v>
      </c>
    </row>
    <row r="52" spans="1:4" x14ac:dyDescent="0.25">
      <c r="A52" t="str">
        <f t="shared" si="0"/>
        <v>California2002</v>
      </c>
      <c r="B52" t="s">
        <v>8</v>
      </c>
      <c r="C52" s="2">
        <v>2002</v>
      </c>
      <c r="D52" s="18">
        <v>32996</v>
      </c>
    </row>
    <row r="53" spans="1:4" x14ac:dyDescent="0.25">
      <c r="A53" t="str">
        <f t="shared" si="0"/>
        <v>Colorado2002</v>
      </c>
      <c r="B53" t="s">
        <v>9</v>
      </c>
      <c r="C53" s="2">
        <v>2002</v>
      </c>
      <c r="D53" s="18">
        <v>33276</v>
      </c>
    </row>
    <row r="54" spans="1:4" x14ac:dyDescent="0.25">
      <c r="A54" t="str">
        <f t="shared" si="0"/>
        <v>Connecticut2002</v>
      </c>
      <c r="B54" t="s">
        <v>10</v>
      </c>
      <c r="C54" s="2">
        <v>2002</v>
      </c>
      <c r="D54" s="18">
        <v>42706</v>
      </c>
    </row>
    <row r="55" spans="1:4" x14ac:dyDescent="0.25">
      <c r="A55" t="str">
        <f t="shared" si="0"/>
        <v>Delaware2002</v>
      </c>
      <c r="B55" t="s">
        <v>12</v>
      </c>
      <c r="C55" s="2">
        <v>2002</v>
      </c>
      <c r="D55" s="18">
        <v>42120</v>
      </c>
    </row>
    <row r="56" spans="1:4" x14ac:dyDescent="0.25">
      <c r="A56" t="str">
        <f t="shared" si="0"/>
        <v>Florida2002</v>
      </c>
      <c r="B56" t="s">
        <v>13</v>
      </c>
      <c r="C56" s="2">
        <v>2002</v>
      </c>
      <c r="D56" s="18">
        <v>29596</v>
      </c>
    </row>
    <row r="57" spans="1:4" x14ac:dyDescent="0.25">
      <c r="A57" t="str">
        <f t="shared" si="0"/>
        <v>Georgia2002</v>
      </c>
      <c r="B57" t="s">
        <v>14</v>
      </c>
      <c r="C57" s="2">
        <v>2002</v>
      </c>
      <c r="D57" s="18">
        <v>28821</v>
      </c>
    </row>
    <row r="58" spans="1:4" x14ac:dyDescent="0.25">
      <c r="A58" t="str">
        <f t="shared" si="0"/>
        <v>Hawaii2002</v>
      </c>
      <c r="B58" t="s">
        <v>15</v>
      </c>
      <c r="C58" s="2">
        <v>2002</v>
      </c>
      <c r="D58" s="18">
        <v>30001</v>
      </c>
    </row>
    <row r="59" spans="1:4" x14ac:dyDescent="0.25">
      <c r="A59" t="str">
        <f t="shared" si="0"/>
        <v>Idaho2002</v>
      </c>
      <c r="B59" t="s">
        <v>16</v>
      </c>
      <c r="C59" s="2">
        <v>2002</v>
      </c>
      <c r="D59" s="18">
        <v>25057</v>
      </c>
    </row>
    <row r="60" spans="1:4" x14ac:dyDescent="0.25">
      <c r="A60" t="str">
        <f t="shared" si="0"/>
        <v>Illinois2002</v>
      </c>
      <c r="B60" t="s">
        <v>17</v>
      </c>
      <c r="C60" s="2">
        <v>2002</v>
      </c>
      <c r="D60" s="18">
        <v>33404</v>
      </c>
    </row>
    <row r="61" spans="1:4" x14ac:dyDescent="0.25">
      <c r="A61" t="str">
        <f t="shared" si="0"/>
        <v>Indiana2002</v>
      </c>
      <c r="B61" t="s">
        <v>18</v>
      </c>
      <c r="C61" s="2">
        <v>2002</v>
      </c>
      <c r="D61" s="18">
        <v>28240</v>
      </c>
    </row>
    <row r="62" spans="1:4" x14ac:dyDescent="0.25">
      <c r="A62" t="str">
        <f t="shared" si="0"/>
        <v>Iowa2002</v>
      </c>
      <c r="B62" t="s">
        <v>19</v>
      </c>
      <c r="C62" s="2">
        <v>2002</v>
      </c>
      <c r="D62" s="18">
        <v>28280</v>
      </c>
    </row>
    <row r="63" spans="1:4" x14ac:dyDescent="0.25">
      <c r="A63" t="str">
        <f t="shared" si="0"/>
        <v>Kansas2002</v>
      </c>
      <c r="B63" t="s">
        <v>20</v>
      </c>
      <c r="C63" s="2">
        <v>2002</v>
      </c>
      <c r="D63" s="18">
        <v>29141</v>
      </c>
    </row>
    <row r="64" spans="1:4" x14ac:dyDescent="0.25">
      <c r="A64" t="str">
        <f t="shared" si="0"/>
        <v>Louisiana2002</v>
      </c>
      <c r="B64" t="s">
        <v>22</v>
      </c>
      <c r="C64" s="2">
        <v>2002</v>
      </c>
      <c r="D64" s="18">
        <v>25446</v>
      </c>
    </row>
    <row r="65" spans="1:4" x14ac:dyDescent="0.25">
      <c r="A65" t="str">
        <f t="shared" si="0"/>
        <v>Maine2002</v>
      </c>
      <c r="B65" t="s">
        <v>23</v>
      </c>
      <c r="C65" s="2">
        <v>2002</v>
      </c>
      <c r="D65" s="18">
        <v>27744</v>
      </c>
    </row>
    <row r="66" spans="1:4" x14ac:dyDescent="0.25">
      <c r="A66" t="str">
        <f t="shared" si="0"/>
        <v>Massachusetts2002</v>
      </c>
      <c r="B66" t="s">
        <v>25</v>
      </c>
      <c r="C66" s="2">
        <v>2002</v>
      </c>
      <c r="D66" s="18">
        <v>39244</v>
      </c>
    </row>
    <row r="67" spans="1:4" x14ac:dyDescent="0.25">
      <c r="A67" t="str">
        <f t="shared" ref="A67:A130" si="1">CONCATENATE(B67,C67)</f>
        <v>Michigan2002</v>
      </c>
      <c r="B67" t="s">
        <v>26</v>
      </c>
      <c r="C67" s="2">
        <v>2002</v>
      </c>
      <c r="D67" s="18">
        <v>30296</v>
      </c>
    </row>
    <row r="68" spans="1:4" x14ac:dyDescent="0.25">
      <c r="A68" t="str">
        <f t="shared" si="1"/>
        <v>Minnesota2002</v>
      </c>
      <c r="B68" t="s">
        <v>27</v>
      </c>
      <c r="C68" s="2">
        <v>2002</v>
      </c>
      <c r="D68" s="18">
        <v>34071</v>
      </c>
    </row>
    <row r="69" spans="1:4" x14ac:dyDescent="0.25">
      <c r="A69" t="str">
        <f t="shared" si="1"/>
        <v>Mississippi2002</v>
      </c>
      <c r="B69" t="s">
        <v>28</v>
      </c>
      <c r="C69" s="2">
        <v>2002</v>
      </c>
      <c r="D69" s="18">
        <v>22372</v>
      </c>
    </row>
    <row r="70" spans="1:4" x14ac:dyDescent="0.25">
      <c r="A70" t="str">
        <f t="shared" si="1"/>
        <v>Missouri2002</v>
      </c>
      <c r="B70" t="s">
        <v>29</v>
      </c>
      <c r="C70" s="2">
        <v>2002</v>
      </c>
      <c r="D70" s="18">
        <v>28936</v>
      </c>
    </row>
    <row r="71" spans="1:4" x14ac:dyDescent="0.25">
      <c r="A71" t="str">
        <f t="shared" si="1"/>
        <v>Montana2002</v>
      </c>
      <c r="B71" t="s">
        <v>30</v>
      </c>
      <c r="C71" s="2">
        <v>2002</v>
      </c>
      <c r="D71" s="18">
        <v>25020</v>
      </c>
    </row>
    <row r="72" spans="1:4" x14ac:dyDescent="0.25">
      <c r="A72" t="str">
        <f t="shared" si="1"/>
        <v>Nebraska2002</v>
      </c>
      <c r="B72" t="s">
        <v>31</v>
      </c>
      <c r="C72" s="2">
        <v>2002</v>
      </c>
      <c r="D72" s="18">
        <v>29771</v>
      </c>
    </row>
    <row r="73" spans="1:4" x14ac:dyDescent="0.25">
      <c r="A73" t="str">
        <f t="shared" si="1"/>
        <v>Nevada2002</v>
      </c>
      <c r="B73" t="s">
        <v>32</v>
      </c>
      <c r="C73" s="2">
        <v>2002</v>
      </c>
      <c r="D73" s="18">
        <v>30180</v>
      </c>
    </row>
    <row r="74" spans="1:4" x14ac:dyDescent="0.25">
      <c r="A74" t="str">
        <f t="shared" si="1"/>
        <v>New Hampshire2002</v>
      </c>
      <c r="B74" t="s">
        <v>33</v>
      </c>
      <c r="C74" s="2">
        <v>2002</v>
      </c>
      <c r="D74" s="18">
        <v>34334</v>
      </c>
    </row>
    <row r="75" spans="1:4" x14ac:dyDescent="0.25">
      <c r="A75" t="str">
        <f t="shared" si="1"/>
        <v>New Jersey2002</v>
      </c>
      <c r="B75" t="s">
        <v>34</v>
      </c>
      <c r="C75" s="2">
        <v>2002</v>
      </c>
      <c r="D75" s="18">
        <v>39453</v>
      </c>
    </row>
    <row r="76" spans="1:4" x14ac:dyDescent="0.25">
      <c r="A76" t="str">
        <f t="shared" si="1"/>
        <v>New Mexico2002</v>
      </c>
      <c r="B76" t="s">
        <v>35</v>
      </c>
      <c r="C76" s="2">
        <v>2002</v>
      </c>
      <c r="D76" s="18">
        <v>23941</v>
      </c>
    </row>
    <row r="77" spans="1:4" x14ac:dyDescent="0.25">
      <c r="A77" t="str">
        <f t="shared" si="1"/>
        <v>New York2002</v>
      </c>
      <c r="B77" t="s">
        <v>36</v>
      </c>
      <c r="C77" s="2">
        <v>2002</v>
      </c>
      <c r="D77" s="18">
        <v>36043</v>
      </c>
    </row>
    <row r="78" spans="1:4" x14ac:dyDescent="0.25">
      <c r="A78" t="str">
        <f t="shared" si="1"/>
        <v>North Carolina2002</v>
      </c>
      <c r="B78" t="s">
        <v>37</v>
      </c>
      <c r="C78" s="2">
        <v>2002</v>
      </c>
      <c r="D78" s="18">
        <v>27711</v>
      </c>
    </row>
    <row r="79" spans="1:4" x14ac:dyDescent="0.25">
      <c r="A79" t="str">
        <f t="shared" si="1"/>
        <v>North Dakota2002</v>
      </c>
      <c r="B79" t="s">
        <v>38</v>
      </c>
      <c r="C79" s="2">
        <v>2002</v>
      </c>
      <c r="D79" s="18">
        <v>26982</v>
      </c>
    </row>
    <row r="80" spans="1:4" x14ac:dyDescent="0.25">
      <c r="A80" t="str">
        <f t="shared" si="1"/>
        <v>Ohio2002</v>
      </c>
      <c r="B80" t="s">
        <v>39</v>
      </c>
      <c r="C80" s="2">
        <v>2002</v>
      </c>
      <c r="D80" s="18">
        <v>29405</v>
      </c>
    </row>
    <row r="81" spans="1:4" x14ac:dyDescent="0.25">
      <c r="A81" t="str">
        <f t="shared" si="1"/>
        <v>Oklahoma2002</v>
      </c>
      <c r="B81" t="s">
        <v>40</v>
      </c>
      <c r="C81" s="2">
        <v>2002</v>
      </c>
      <c r="D81" s="18">
        <v>25575</v>
      </c>
    </row>
    <row r="82" spans="1:4" x14ac:dyDescent="0.25">
      <c r="A82" t="str">
        <f t="shared" si="1"/>
        <v>Oregon2002</v>
      </c>
      <c r="B82" t="s">
        <v>41</v>
      </c>
      <c r="C82" s="2">
        <v>2002</v>
      </c>
      <c r="D82" s="18">
        <v>28731</v>
      </c>
    </row>
    <row r="83" spans="1:4" x14ac:dyDescent="0.25">
      <c r="A83" t="str">
        <f t="shared" si="1"/>
        <v>Pennsylvania2002</v>
      </c>
      <c r="B83" t="s">
        <v>42</v>
      </c>
      <c r="C83" s="2">
        <v>2002</v>
      </c>
      <c r="D83" s="18">
        <v>31727</v>
      </c>
    </row>
    <row r="84" spans="1:4" x14ac:dyDescent="0.25">
      <c r="A84" t="str">
        <f t="shared" si="1"/>
        <v>Rhode Island2002</v>
      </c>
      <c r="B84" t="s">
        <v>43</v>
      </c>
      <c r="C84" s="2">
        <v>2002</v>
      </c>
      <c r="D84" s="18">
        <v>31319</v>
      </c>
    </row>
    <row r="85" spans="1:4" x14ac:dyDescent="0.25">
      <c r="A85" t="str">
        <f t="shared" si="1"/>
        <v>South Carolina2002</v>
      </c>
      <c r="B85" t="s">
        <v>44</v>
      </c>
      <c r="C85" s="2">
        <v>2002</v>
      </c>
      <c r="D85" s="18">
        <v>25400</v>
      </c>
    </row>
    <row r="86" spans="1:4" x14ac:dyDescent="0.25">
      <c r="A86" t="str">
        <f t="shared" si="1"/>
        <v>South Dakota2002</v>
      </c>
      <c r="B86" t="s">
        <v>45</v>
      </c>
      <c r="C86" s="2">
        <v>2002</v>
      </c>
      <c r="D86" s="18">
        <v>26894</v>
      </c>
    </row>
    <row r="87" spans="1:4" x14ac:dyDescent="0.25">
      <c r="A87" t="str">
        <f t="shared" si="1"/>
        <v>Tennessee2002</v>
      </c>
      <c r="B87" t="s">
        <v>46</v>
      </c>
      <c r="C87" s="2">
        <v>2002</v>
      </c>
      <c r="D87" s="18">
        <v>27671</v>
      </c>
    </row>
    <row r="88" spans="1:4" x14ac:dyDescent="0.25">
      <c r="A88" t="str">
        <f t="shared" si="1"/>
        <v>Texas2002</v>
      </c>
      <c r="B88" t="s">
        <v>47</v>
      </c>
      <c r="C88" s="2">
        <v>2002</v>
      </c>
      <c r="D88" s="18">
        <v>28551</v>
      </c>
    </row>
    <row r="89" spans="1:4" x14ac:dyDescent="0.25">
      <c r="A89" t="str">
        <f t="shared" si="1"/>
        <v>Utah2002</v>
      </c>
      <c r="B89" t="s">
        <v>48</v>
      </c>
      <c r="C89" s="2">
        <v>2002</v>
      </c>
      <c r="D89" s="18">
        <v>24306</v>
      </c>
    </row>
    <row r="90" spans="1:4" x14ac:dyDescent="0.25">
      <c r="A90" t="str">
        <f t="shared" si="1"/>
        <v>Vermont2002</v>
      </c>
      <c r="B90" t="s">
        <v>49</v>
      </c>
      <c r="C90" s="2">
        <v>2002</v>
      </c>
      <c r="D90" s="18">
        <v>29567</v>
      </c>
    </row>
    <row r="91" spans="1:4" x14ac:dyDescent="0.25">
      <c r="A91" t="str">
        <f t="shared" si="1"/>
        <v>Virginia2002</v>
      </c>
      <c r="B91" t="s">
        <v>50</v>
      </c>
      <c r="C91" s="2">
        <v>2002</v>
      </c>
      <c r="D91" s="18">
        <v>32922</v>
      </c>
    </row>
    <row r="92" spans="1:4" x14ac:dyDescent="0.25">
      <c r="A92" t="str">
        <f t="shared" si="1"/>
        <v>Washington2002</v>
      </c>
      <c r="B92" t="s">
        <v>51</v>
      </c>
      <c r="C92" s="2">
        <v>2002</v>
      </c>
      <c r="D92" s="18">
        <v>32677</v>
      </c>
    </row>
    <row r="93" spans="1:4" x14ac:dyDescent="0.25">
      <c r="A93" t="str">
        <f t="shared" si="1"/>
        <v>West Virginia2002</v>
      </c>
      <c r="B93" t="s">
        <v>52</v>
      </c>
      <c r="C93" s="2">
        <v>2002</v>
      </c>
      <c r="D93" s="18">
        <v>23688</v>
      </c>
    </row>
    <row r="94" spans="1:4" x14ac:dyDescent="0.25">
      <c r="A94" t="str">
        <f t="shared" si="1"/>
        <v>Wisconsin2002</v>
      </c>
      <c r="B94" t="s">
        <v>53</v>
      </c>
      <c r="C94" s="2">
        <v>2002</v>
      </c>
      <c r="D94" s="18">
        <v>29923</v>
      </c>
    </row>
    <row r="95" spans="1:4" x14ac:dyDescent="0.25">
      <c r="A95" t="str">
        <f t="shared" si="1"/>
        <v>Wyoming2002</v>
      </c>
      <c r="B95" t="s">
        <v>54</v>
      </c>
      <c r="C95" s="2">
        <v>2002</v>
      </c>
      <c r="D95" s="18">
        <v>30578</v>
      </c>
    </row>
    <row r="96" spans="1:4" x14ac:dyDescent="0.25">
      <c r="A96" t="str">
        <f t="shared" si="1"/>
        <v>Alabama2003</v>
      </c>
      <c r="B96" t="s">
        <v>4</v>
      </c>
      <c r="C96" s="2">
        <v>2003</v>
      </c>
      <c r="D96" s="18">
        <v>26338</v>
      </c>
    </row>
    <row r="97" spans="1:4" x14ac:dyDescent="0.25">
      <c r="A97" t="str">
        <f t="shared" si="1"/>
        <v>Alaska2003</v>
      </c>
      <c r="B97" t="s">
        <v>5</v>
      </c>
      <c r="C97" s="2">
        <v>2003</v>
      </c>
      <c r="D97" s="18">
        <v>33568</v>
      </c>
    </row>
    <row r="98" spans="1:4" x14ac:dyDescent="0.25">
      <c r="A98" t="str">
        <f t="shared" si="1"/>
        <v>Arizona2003</v>
      </c>
      <c r="B98" t="s">
        <v>6</v>
      </c>
      <c r="C98" s="2">
        <v>2003</v>
      </c>
      <c r="D98" s="18">
        <v>26838</v>
      </c>
    </row>
    <row r="99" spans="1:4" x14ac:dyDescent="0.25">
      <c r="A99" t="str">
        <f t="shared" si="1"/>
        <v>Arkansas2003</v>
      </c>
      <c r="B99" t="s">
        <v>7</v>
      </c>
      <c r="C99" s="2">
        <v>2003</v>
      </c>
      <c r="D99" s="18">
        <v>24289</v>
      </c>
    </row>
    <row r="100" spans="1:4" x14ac:dyDescent="0.25">
      <c r="A100" t="str">
        <f t="shared" si="1"/>
        <v>California2003</v>
      </c>
      <c r="B100" t="s">
        <v>8</v>
      </c>
      <c r="C100" s="2">
        <v>2003</v>
      </c>
      <c r="D100" s="18">
        <v>33749</v>
      </c>
    </row>
    <row r="101" spans="1:4" x14ac:dyDescent="0.25">
      <c r="A101" t="str">
        <f t="shared" si="1"/>
        <v>Colorado2003</v>
      </c>
      <c r="B101" t="s">
        <v>9</v>
      </c>
      <c r="C101" s="2">
        <v>2003</v>
      </c>
      <c r="D101" s="18">
        <v>34283</v>
      </c>
    </row>
    <row r="102" spans="1:4" x14ac:dyDescent="0.25">
      <c r="A102" t="str">
        <f t="shared" si="1"/>
        <v>Connecticut2003</v>
      </c>
      <c r="B102" t="s">
        <v>10</v>
      </c>
      <c r="C102" s="2">
        <v>2003</v>
      </c>
      <c r="D102" s="18">
        <v>43173</v>
      </c>
    </row>
    <row r="103" spans="1:4" x14ac:dyDescent="0.25">
      <c r="A103" t="str">
        <f t="shared" si="1"/>
        <v>Delaware2003</v>
      </c>
      <c r="B103" t="s">
        <v>12</v>
      </c>
      <c r="C103" s="2">
        <v>2003</v>
      </c>
      <c r="D103" s="18">
        <v>48342</v>
      </c>
    </row>
    <row r="104" spans="1:4" x14ac:dyDescent="0.25">
      <c r="A104" t="str">
        <f t="shared" si="1"/>
        <v>Florida2003</v>
      </c>
      <c r="B104" t="s">
        <v>13</v>
      </c>
      <c r="C104" s="2">
        <v>2003</v>
      </c>
      <c r="D104" s="18">
        <v>30446</v>
      </c>
    </row>
    <row r="105" spans="1:4" x14ac:dyDescent="0.25">
      <c r="A105" t="str">
        <f t="shared" si="1"/>
        <v>Georgia2003</v>
      </c>
      <c r="B105" t="s">
        <v>14</v>
      </c>
      <c r="C105" s="2">
        <v>2003</v>
      </c>
      <c r="D105" s="18">
        <v>29442</v>
      </c>
    </row>
    <row r="106" spans="1:4" x14ac:dyDescent="0.25">
      <c r="A106" t="str">
        <f t="shared" si="1"/>
        <v>Hawaii2003</v>
      </c>
      <c r="B106" t="s">
        <v>15</v>
      </c>
      <c r="C106" s="2">
        <v>2003</v>
      </c>
      <c r="D106" s="18">
        <v>30913</v>
      </c>
    </row>
    <row r="107" spans="1:4" x14ac:dyDescent="0.25">
      <c r="A107" t="str">
        <f t="shared" si="1"/>
        <v>Indiana2003</v>
      </c>
      <c r="B107" t="s">
        <v>18</v>
      </c>
      <c r="C107" s="2">
        <v>2003</v>
      </c>
      <c r="D107" s="18">
        <v>28783</v>
      </c>
    </row>
    <row r="108" spans="1:4" x14ac:dyDescent="0.25">
      <c r="A108" t="str">
        <f t="shared" si="1"/>
        <v>Iowa2003</v>
      </c>
      <c r="B108" t="s">
        <v>19</v>
      </c>
      <c r="C108" s="2">
        <v>2003</v>
      </c>
      <c r="D108" s="18">
        <v>29043</v>
      </c>
    </row>
    <row r="109" spans="1:4" x14ac:dyDescent="0.25">
      <c r="A109" t="str">
        <f t="shared" si="1"/>
        <v>Kansas2003</v>
      </c>
      <c r="B109" t="s">
        <v>20</v>
      </c>
      <c r="C109" s="2">
        <v>2003</v>
      </c>
      <c r="D109" s="18">
        <v>29935</v>
      </c>
    </row>
    <row r="110" spans="1:4" x14ac:dyDescent="0.25">
      <c r="A110" t="str">
        <f t="shared" si="1"/>
        <v>Kentucky2003</v>
      </c>
      <c r="B110" t="s">
        <v>21</v>
      </c>
      <c r="C110" s="2">
        <v>2003</v>
      </c>
      <c r="D110" s="18">
        <v>26252</v>
      </c>
    </row>
    <row r="111" spans="1:4" x14ac:dyDescent="0.25">
      <c r="A111" t="str">
        <f t="shared" si="1"/>
        <v>Louisiana2003</v>
      </c>
      <c r="B111" t="s">
        <v>22</v>
      </c>
      <c r="C111" s="2">
        <v>2003</v>
      </c>
      <c r="D111" s="18">
        <v>26100</v>
      </c>
    </row>
    <row r="112" spans="1:4" x14ac:dyDescent="0.25">
      <c r="A112" t="str">
        <f t="shared" si="1"/>
        <v>Maine2003</v>
      </c>
      <c r="B112" t="s">
        <v>23</v>
      </c>
      <c r="C112" s="2">
        <v>2003</v>
      </c>
      <c r="D112" s="18">
        <v>28831</v>
      </c>
    </row>
    <row r="113" spans="1:4" x14ac:dyDescent="0.25">
      <c r="A113" t="str">
        <f t="shared" si="1"/>
        <v>Maryland2003</v>
      </c>
      <c r="B113" t="s">
        <v>24</v>
      </c>
      <c r="C113" s="2">
        <v>2003</v>
      </c>
      <c r="D113" s="18">
        <v>37331</v>
      </c>
    </row>
    <row r="114" spans="1:4" x14ac:dyDescent="0.25">
      <c r="A114" t="str">
        <f t="shared" si="1"/>
        <v>Massachusetts2003</v>
      </c>
      <c r="B114" t="s">
        <v>25</v>
      </c>
      <c r="C114" s="2">
        <v>2003</v>
      </c>
      <c r="D114" s="18">
        <v>39815</v>
      </c>
    </row>
    <row r="115" spans="1:4" x14ac:dyDescent="0.25">
      <c r="A115" t="str">
        <f t="shared" si="1"/>
        <v>Michigan2003</v>
      </c>
      <c r="B115" t="s">
        <v>26</v>
      </c>
      <c r="C115" s="2">
        <v>2003</v>
      </c>
      <c r="D115" s="18">
        <v>30439</v>
      </c>
    </row>
    <row r="116" spans="1:4" x14ac:dyDescent="0.25">
      <c r="A116" t="str">
        <f t="shared" si="1"/>
        <v>Minnesota2003</v>
      </c>
      <c r="B116" t="s">
        <v>27</v>
      </c>
      <c r="C116" s="2">
        <v>2003</v>
      </c>
      <c r="D116" s="18">
        <v>34443</v>
      </c>
    </row>
    <row r="117" spans="1:4" x14ac:dyDescent="0.25">
      <c r="A117" t="str">
        <f t="shared" si="1"/>
        <v>Mississippi2003</v>
      </c>
      <c r="B117" t="s">
        <v>28</v>
      </c>
      <c r="C117" s="2">
        <v>2003</v>
      </c>
      <c r="D117" s="18">
        <v>23448</v>
      </c>
    </row>
    <row r="118" spans="1:4" x14ac:dyDescent="0.25">
      <c r="A118" t="str">
        <f t="shared" si="1"/>
        <v>Missouri2003</v>
      </c>
      <c r="B118" t="s">
        <v>29</v>
      </c>
      <c r="C118" s="2">
        <v>2003</v>
      </c>
      <c r="D118" s="18">
        <v>29252</v>
      </c>
    </row>
    <row r="119" spans="1:4" x14ac:dyDescent="0.25">
      <c r="A119" t="str">
        <f t="shared" si="1"/>
        <v>Montana2003</v>
      </c>
      <c r="B119" t="s">
        <v>30</v>
      </c>
      <c r="C119" s="2">
        <v>2003</v>
      </c>
      <c r="D119" s="18">
        <v>25920</v>
      </c>
    </row>
    <row r="120" spans="1:4" x14ac:dyDescent="0.25">
      <c r="A120" t="str">
        <f t="shared" si="1"/>
        <v>Nebraska2003</v>
      </c>
      <c r="B120" t="s">
        <v>31</v>
      </c>
      <c r="C120" s="2">
        <v>2003</v>
      </c>
      <c r="D120" s="18">
        <v>30758</v>
      </c>
    </row>
    <row r="121" spans="1:4" x14ac:dyDescent="0.25">
      <c r="A121" t="str">
        <f t="shared" si="1"/>
        <v>Nevada2003</v>
      </c>
      <c r="B121" t="s">
        <v>32</v>
      </c>
      <c r="C121" s="2">
        <v>2003</v>
      </c>
      <c r="D121" s="18">
        <v>31266</v>
      </c>
    </row>
    <row r="122" spans="1:4" x14ac:dyDescent="0.25">
      <c r="A122" t="str">
        <f t="shared" si="1"/>
        <v>New Hampshire2003</v>
      </c>
      <c r="B122" t="s">
        <v>33</v>
      </c>
      <c r="C122" s="2">
        <v>2003</v>
      </c>
      <c r="D122" s="18">
        <v>34702</v>
      </c>
    </row>
    <row r="123" spans="1:4" x14ac:dyDescent="0.25">
      <c r="A123" t="str">
        <f t="shared" si="1"/>
        <v>New Jersey2003</v>
      </c>
      <c r="B123" t="s">
        <v>34</v>
      </c>
      <c r="C123" s="2">
        <v>2003</v>
      </c>
      <c r="D123" s="18">
        <v>40427</v>
      </c>
    </row>
    <row r="124" spans="1:4" x14ac:dyDescent="0.25">
      <c r="A124" t="str">
        <f t="shared" si="1"/>
        <v>New Mexico2003</v>
      </c>
      <c r="B124" t="s">
        <v>35</v>
      </c>
      <c r="C124" s="2">
        <v>2003</v>
      </c>
      <c r="D124" s="18">
        <v>25541</v>
      </c>
    </row>
    <row r="125" spans="1:4" x14ac:dyDescent="0.25">
      <c r="A125" t="str">
        <f t="shared" si="1"/>
        <v>New York2003</v>
      </c>
      <c r="B125" t="s">
        <v>36</v>
      </c>
      <c r="C125" s="2">
        <v>2003</v>
      </c>
      <c r="D125" s="18">
        <v>36574</v>
      </c>
    </row>
    <row r="126" spans="1:4" x14ac:dyDescent="0.25">
      <c r="A126" t="str">
        <f t="shared" si="1"/>
        <v>North Carolina2003</v>
      </c>
      <c r="B126" t="s">
        <v>37</v>
      </c>
      <c r="C126" s="2">
        <v>2003</v>
      </c>
      <c r="D126" s="18">
        <v>28235</v>
      </c>
    </row>
    <row r="127" spans="1:4" x14ac:dyDescent="0.25">
      <c r="A127" t="str">
        <f t="shared" si="1"/>
        <v>North Dakota2003</v>
      </c>
      <c r="B127" t="s">
        <v>38</v>
      </c>
      <c r="C127" s="2">
        <v>2003</v>
      </c>
      <c r="D127" s="18">
        <v>29204</v>
      </c>
    </row>
    <row r="128" spans="1:4" x14ac:dyDescent="0.25">
      <c r="A128" t="str">
        <f t="shared" si="1"/>
        <v>Ohio2003</v>
      </c>
      <c r="B128" t="s">
        <v>39</v>
      </c>
      <c r="C128" s="2">
        <v>2003</v>
      </c>
      <c r="D128" s="18">
        <v>29944</v>
      </c>
    </row>
    <row r="129" spans="1:4" x14ac:dyDescent="0.25">
      <c r="A129" t="str">
        <f t="shared" si="1"/>
        <v>Oklahoma2003</v>
      </c>
      <c r="B129" t="s">
        <v>40</v>
      </c>
      <c r="C129" s="2">
        <v>2003</v>
      </c>
      <c r="D129" s="18">
        <v>26656</v>
      </c>
    </row>
    <row r="130" spans="1:4" x14ac:dyDescent="0.25">
      <c r="A130" t="str">
        <f t="shared" si="1"/>
        <v>Oregon2003</v>
      </c>
      <c r="B130" t="s">
        <v>41</v>
      </c>
      <c r="C130" s="2">
        <v>2003</v>
      </c>
      <c r="D130" s="18">
        <v>29340</v>
      </c>
    </row>
    <row r="131" spans="1:4" x14ac:dyDescent="0.25">
      <c r="A131" t="str">
        <f t="shared" ref="A131:A190" si="2">CONCATENATE(B131,C131)</f>
        <v>Pennsylvania2003</v>
      </c>
      <c r="B131" t="s">
        <v>42</v>
      </c>
      <c r="C131" s="2">
        <v>2003</v>
      </c>
      <c r="D131" s="18">
        <v>31998</v>
      </c>
    </row>
    <row r="132" spans="1:4" x14ac:dyDescent="0.25">
      <c r="A132" t="str">
        <f t="shared" si="2"/>
        <v>Rhode Island2003</v>
      </c>
      <c r="B132" t="s">
        <v>43</v>
      </c>
      <c r="C132" s="2">
        <v>2003</v>
      </c>
      <c r="D132" s="18">
        <v>31916</v>
      </c>
    </row>
    <row r="133" spans="1:4" x14ac:dyDescent="0.25">
      <c r="A133" t="str">
        <f t="shared" si="2"/>
        <v>South Carolina2003</v>
      </c>
      <c r="B133" t="s">
        <v>44</v>
      </c>
      <c r="C133" s="2">
        <v>2003</v>
      </c>
      <c r="D133" s="18">
        <v>26132</v>
      </c>
    </row>
    <row r="134" spans="1:4" x14ac:dyDescent="0.25">
      <c r="A134" t="str">
        <f t="shared" si="2"/>
        <v>South Dakota2003</v>
      </c>
      <c r="B134" t="s">
        <v>45</v>
      </c>
      <c r="C134" s="2">
        <v>2003</v>
      </c>
      <c r="D134" s="18">
        <v>29234</v>
      </c>
    </row>
    <row r="135" spans="1:4" x14ac:dyDescent="0.25">
      <c r="A135" t="str">
        <f t="shared" si="2"/>
        <v>Tennessee2003</v>
      </c>
      <c r="B135" t="s">
        <v>46</v>
      </c>
      <c r="C135" s="2">
        <v>2003</v>
      </c>
      <c r="D135" s="18">
        <v>28455</v>
      </c>
    </row>
    <row r="136" spans="1:4" x14ac:dyDescent="0.25">
      <c r="A136" t="str">
        <f t="shared" si="2"/>
        <v>Texas2003</v>
      </c>
      <c r="B136" t="s">
        <v>47</v>
      </c>
      <c r="C136" s="2">
        <v>2003</v>
      </c>
      <c r="D136" s="18">
        <v>29372</v>
      </c>
    </row>
    <row r="137" spans="1:4" x14ac:dyDescent="0.25">
      <c r="A137" t="str">
        <f t="shared" si="2"/>
        <v>Utah2003</v>
      </c>
      <c r="B137" t="s">
        <v>48</v>
      </c>
      <c r="C137" s="2">
        <v>2003</v>
      </c>
      <c r="D137" s="18">
        <v>24977</v>
      </c>
    </row>
    <row r="138" spans="1:4" x14ac:dyDescent="0.25">
      <c r="A138" t="str">
        <f t="shared" si="2"/>
        <v>Vermont2003</v>
      </c>
      <c r="B138" t="s">
        <v>49</v>
      </c>
      <c r="C138" s="2">
        <v>2003</v>
      </c>
      <c r="D138" s="18">
        <v>30740</v>
      </c>
    </row>
    <row r="139" spans="1:4" x14ac:dyDescent="0.25">
      <c r="A139" t="str">
        <f t="shared" si="2"/>
        <v>Virginia2003</v>
      </c>
      <c r="B139" t="s">
        <v>50</v>
      </c>
      <c r="C139" s="2">
        <v>2003</v>
      </c>
      <c r="D139" s="18">
        <v>33671</v>
      </c>
    </row>
    <row r="140" spans="1:4" x14ac:dyDescent="0.25">
      <c r="A140" t="str">
        <f t="shared" si="2"/>
        <v>Washington2003</v>
      </c>
      <c r="B140" t="s">
        <v>51</v>
      </c>
      <c r="C140" s="2">
        <v>2003</v>
      </c>
      <c r="D140" s="18">
        <v>33332</v>
      </c>
    </row>
    <row r="141" spans="1:4" x14ac:dyDescent="0.25">
      <c r="A141" t="str">
        <f t="shared" si="2"/>
        <v>West Virginia2003</v>
      </c>
      <c r="B141" t="s">
        <v>52</v>
      </c>
      <c r="C141" s="2">
        <v>2003</v>
      </c>
      <c r="D141" s="18">
        <v>24379</v>
      </c>
    </row>
    <row r="142" spans="1:4" x14ac:dyDescent="0.25">
      <c r="A142" t="str">
        <f t="shared" si="2"/>
        <v>Wisconsin2003</v>
      </c>
      <c r="B142" t="s">
        <v>53</v>
      </c>
      <c r="C142" s="2">
        <v>2003</v>
      </c>
      <c r="D142" s="18">
        <v>30898</v>
      </c>
    </row>
    <row r="143" spans="1:4" x14ac:dyDescent="0.25">
      <c r="A143" t="str">
        <f t="shared" si="2"/>
        <v>Wyoming2003</v>
      </c>
      <c r="B143" t="s">
        <v>54</v>
      </c>
      <c r="C143" s="2">
        <v>2003</v>
      </c>
      <c r="D143" s="18">
        <v>32808</v>
      </c>
    </row>
    <row r="144" spans="1:4" x14ac:dyDescent="0.25">
      <c r="A144" t="str">
        <f t="shared" si="2"/>
        <v>Alabama2004</v>
      </c>
      <c r="B144" t="s">
        <v>4</v>
      </c>
      <c r="C144" s="2">
        <v>2004</v>
      </c>
      <c r="D144" s="18">
        <v>29136</v>
      </c>
    </row>
    <row r="145" spans="1:4" x14ac:dyDescent="0.25">
      <c r="A145" t="str">
        <f t="shared" si="2"/>
        <v>Alaska2004</v>
      </c>
      <c r="B145" t="s">
        <v>5</v>
      </c>
      <c r="C145" s="2">
        <v>2004</v>
      </c>
      <c r="D145" s="18">
        <v>35612</v>
      </c>
    </row>
    <row r="146" spans="1:4" x14ac:dyDescent="0.25">
      <c r="A146" t="str">
        <f t="shared" si="2"/>
        <v>Arizona2004</v>
      </c>
      <c r="B146" t="s">
        <v>6</v>
      </c>
      <c r="C146" s="2">
        <v>2004</v>
      </c>
      <c r="D146" s="18">
        <v>30267</v>
      </c>
    </row>
    <row r="147" spans="1:4" x14ac:dyDescent="0.25">
      <c r="A147" t="str">
        <f t="shared" si="2"/>
        <v>Arkansas2004</v>
      </c>
      <c r="B147" t="s">
        <v>7</v>
      </c>
      <c r="C147" s="2">
        <v>2004</v>
      </c>
      <c r="D147" s="18">
        <v>26874</v>
      </c>
    </row>
    <row r="148" spans="1:4" x14ac:dyDescent="0.25">
      <c r="A148" t="str">
        <f t="shared" si="2"/>
        <v>California2004</v>
      </c>
      <c r="B148" t="s">
        <v>8</v>
      </c>
      <c r="C148" s="2">
        <v>2004</v>
      </c>
      <c r="D148" s="18">
        <v>37036</v>
      </c>
    </row>
    <row r="149" spans="1:4" x14ac:dyDescent="0.25">
      <c r="A149" t="str">
        <f t="shared" si="2"/>
        <v>Colorado2004</v>
      </c>
      <c r="B149" t="s">
        <v>9</v>
      </c>
      <c r="C149" s="2">
        <v>2004</v>
      </c>
      <c r="D149" s="18">
        <v>37946</v>
      </c>
    </row>
    <row r="150" spans="1:4" x14ac:dyDescent="0.25">
      <c r="A150" t="str">
        <f t="shared" si="2"/>
        <v>Connecticut2004</v>
      </c>
      <c r="B150" t="s">
        <v>10</v>
      </c>
      <c r="C150" s="2">
        <v>2004</v>
      </c>
      <c r="D150" s="18">
        <v>47819</v>
      </c>
    </row>
    <row r="151" spans="1:4" x14ac:dyDescent="0.25">
      <c r="A151" t="str">
        <f t="shared" si="2"/>
        <v>D.C.2004</v>
      </c>
      <c r="B151" t="s">
        <v>11</v>
      </c>
      <c r="C151" s="2">
        <v>2004</v>
      </c>
      <c r="D151" s="18">
        <v>37065</v>
      </c>
    </row>
    <row r="152" spans="1:4" x14ac:dyDescent="0.25">
      <c r="A152" t="str">
        <f t="shared" si="2"/>
        <v>Delaware2004</v>
      </c>
      <c r="B152" t="s">
        <v>12</v>
      </c>
      <c r="C152" s="2">
        <v>2004</v>
      </c>
      <c r="D152" s="18">
        <v>54985</v>
      </c>
    </row>
    <row r="153" spans="1:4" x14ac:dyDescent="0.25">
      <c r="A153" t="str">
        <f t="shared" si="2"/>
        <v>Florida2004</v>
      </c>
      <c r="B153" t="s">
        <v>13</v>
      </c>
      <c r="C153" s="2">
        <v>2004</v>
      </c>
      <c r="D153" s="18">
        <v>33219</v>
      </c>
    </row>
    <row r="154" spans="1:4" x14ac:dyDescent="0.25">
      <c r="A154" t="str">
        <f t="shared" si="2"/>
        <v>Georgia2004</v>
      </c>
      <c r="B154" t="s">
        <v>14</v>
      </c>
      <c r="C154" s="2">
        <v>2004</v>
      </c>
      <c r="D154" s="18">
        <v>31121</v>
      </c>
    </row>
    <row r="155" spans="1:4" x14ac:dyDescent="0.25">
      <c r="A155" t="str">
        <f t="shared" si="2"/>
        <v>Hawaii2004</v>
      </c>
      <c r="B155" t="s">
        <v>15</v>
      </c>
      <c r="C155" s="2">
        <v>2004</v>
      </c>
      <c r="D155" s="18">
        <v>34539</v>
      </c>
    </row>
    <row r="156" spans="1:4" x14ac:dyDescent="0.25">
      <c r="A156" t="str">
        <f t="shared" si="2"/>
        <v>Idaho2004</v>
      </c>
      <c r="B156" t="s">
        <v>16</v>
      </c>
      <c r="C156" s="2">
        <v>2004</v>
      </c>
      <c r="D156" s="18">
        <v>28158</v>
      </c>
    </row>
    <row r="157" spans="1:4" x14ac:dyDescent="0.25">
      <c r="A157" t="str">
        <f t="shared" si="2"/>
        <v>Illinois2004</v>
      </c>
      <c r="B157" t="s">
        <v>17</v>
      </c>
      <c r="C157" s="2">
        <v>2004</v>
      </c>
      <c r="D157" s="18">
        <v>36120</v>
      </c>
    </row>
    <row r="158" spans="1:4" x14ac:dyDescent="0.25">
      <c r="A158" t="str">
        <f t="shared" si="2"/>
        <v>Indiana2004</v>
      </c>
      <c r="B158" t="s">
        <v>18</v>
      </c>
      <c r="C158" s="2">
        <v>2004</v>
      </c>
      <c r="D158" s="18">
        <v>31276</v>
      </c>
    </row>
    <row r="159" spans="1:4" x14ac:dyDescent="0.25">
      <c r="A159" t="str">
        <f t="shared" si="2"/>
        <v>Iowa2004</v>
      </c>
      <c r="B159" t="s">
        <v>19</v>
      </c>
      <c r="C159" s="2">
        <v>2004</v>
      </c>
      <c r="D159" s="18">
        <v>32315</v>
      </c>
    </row>
    <row r="160" spans="1:4" x14ac:dyDescent="0.25">
      <c r="A160" t="str">
        <f t="shared" si="2"/>
        <v>Kansas2004</v>
      </c>
      <c r="B160" t="s">
        <v>20</v>
      </c>
      <c r="C160" s="2">
        <v>2004</v>
      </c>
      <c r="D160" s="18">
        <v>32836</v>
      </c>
    </row>
    <row r="161" spans="1:4" x14ac:dyDescent="0.25">
      <c r="A161" t="str">
        <f t="shared" si="2"/>
        <v>Kentucky2004</v>
      </c>
      <c r="B161" t="s">
        <v>21</v>
      </c>
      <c r="C161" s="2">
        <v>2004</v>
      </c>
      <c r="D161" s="18">
        <v>28513</v>
      </c>
    </row>
    <row r="162" spans="1:4" x14ac:dyDescent="0.25">
      <c r="A162" t="str">
        <f t="shared" si="2"/>
        <v>Louisiana2004</v>
      </c>
      <c r="B162" t="s">
        <v>22</v>
      </c>
      <c r="C162" s="2">
        <v>2004</v>
      </c>
      <c r="D162" s="18">
        <v>24820</v>
      </c>
    </row>
    <row r="163" spans="1:4" x14ac:dyDescent="0.25">
      <c r="A163" t="str">
        <f t="shared" si="2"/>
        <v>Maine2004</v>
      </c>
      <c r="B163" t="s">
        <v>23</v>
      </c>
      <c r="C163" s="2">
        <v>2004</v>
      </c>
      <c r="D163" s="18">
        <v>31252</v>
      </c>
    </row>
    <row r="164" spans="1:4" x14ac:dyDescent="0.25">
      <c r="A164" t="str">
        <f t="shared" si="2"/>
        <v>Maryland2004</v>
      </c>
      <c r="B164" t="s">
        <v>24</v>
      </c>
      <c r="C164" s="2">
        <v>2004</v>
      </c>
      <c r="D164" s="18">
        <v>41760</v>
      </c>
    </row>
    <row r="165" spans="1:4" x14ac:dyDescent="0.25">
      <c r="A165" t="str">
        <f t="shared" si="2"/>
        <v>Massachusetts2004</v>
      </c>
      <c r="B165" t="s">
        <v>25</v>
      </c>
      <c r="C165" s="2">
        <v>2004</v>
      </c>
      <c r="D165" s="18">
        <v>44289</v>
      </c>
    </row>
    <row r="166" spans="1:4" x14ac:dyDescent="0.25">
      <c r="A166" t="str">
        <f t="shared" si="2"/>
        <v>Michigan2004</v>
      </c>
      <c r="B166" t="s">
        <v>26</v>
      </c>
      <c r="C166" s="2">
        <v>2004</v>
      </c>
      <c r="D166" s="18">
        <v>33116</v>
      </c>
    </row>
    <row r="167" spans="1:4" x14ac:dyDescent="0.25">
      <c r="A167" t="str">
        <f t="shared" si="2"/>
        <v>Minnesota2004</v>
      </c>
      <c r="B167" t="s">
        <v>27</v>
      </c>
      <c r="C167" s="2">
        <v>2004</v>
      </c>
      <c r="D167" s="18">
        <v>37373</v>
      </c>
    </row>
    <row r="168" spans="1:4" x14ac:dyDescent="0.25">
      <c r="A168" t="str">
        <f t="shared" si="2"/>
        <v>Mississippi2004</v>
      </c>
      <c r="B168" t="s">
        <v>28</v>
      </c>
      <c r="C168" s="2">
        <v>2004</v>
      </c>
      <c r="D168" s="18">
        <v>25318</v>
      </c>
    </row>
    <row r="169" spans="1:4" x14ac:dyDescent="0.25">
      <c r="A169" t="str">
        <f t="shared" si="2"/>
        <v>Missouri2004</v>
      </c>
      <c r="B169" t="s">
        <v>29</v>
      </c>
      <c r="C169" s="2">
        <v>2004</v>
      </c>
      <c r="D169" s="18">
        <v>31899</v>
      </c>
    </row>
    <row r="170" spans="1:4" x14ac:dyDescent="0.25">
      <c r="A170" t="str">
        <f t="shared" si="2"/>
        <v>Montana2004</v>
      </c>
      <c r="B170" t="s">
        <v>30</v>
      </c>
      <c r="C170" s="2">
        <v>2004</v>
      </c>
      <c r="D170" s="18">
        <v>29387</v>
      </c>
    </row>
    <row r="171" spans="1:4" x14ac:dyDescent="0.25">
      <c r="A171" t="str">
        <f t="shared" si="2"/>
        <v>Nebraska2004</v>
      </c>
      <c r="B171" t="s">
        <v>31</v>
      </c>
      <c r="C171" s="2">
        <v>2004</v>
      </c>
      <c r="D171" s="18">
        <v>33616</v>
      </c>
    </row>
    <row r="172" spans="1:4" x14ac:dyDescent="0.25">
      <c r="A172" t="str">
        <f t="shared" si="2"/>
        <v>New Hampshire2004</v>
      </c>
      <c r="B172" t="s">
        <v>33</v>
      </c>
      <c r="C172" s="2">
        <v>2004</v>
      </c>
      <c r="D172" s="18">
        <v>38408</v>
      </c>
    </row>
    <row r="173" spans="1:4" x14ac:dyDescent="0.25">
      <c r="A173" t="str">
        <f t="shared" si="2"/>
        <v>New Mexico2004</v>
      </c>
      <c r="B173" t="s">
        <v>35</v>
      </c>
      <c r="C173" s="2">
        <v>2004</v>
      </c>
      <c r="D173" s="18">
        <v>27644</v>
      </c>
    </row>
    <row r="174" spans="1:4" x14ac:dyDescent="0.25">
      <c r="A174" t="str">
        <f t="shared" si="2"/>
        <v>North Carolina2004</v>
      </c>
      <c r="B174" t="s">
        <v>37</v>
      </c>
      <c r="C174" s="2">
        <v>2004</v>
      </c>
      <c r="D174" s="18">
        <v>30553</v>
      </c>
    </row>
    <row r="175" spans="1:4" x14ac:dyDescent="0.25">
      <c r="A175" t="str">
        <f t="shared" si="2"/>
        <v>North Dakota2004</v>
      </c>
      <c r="B175" t="s">
        <v>38</v>
      </c>
      <c r="C175" s="2">
        <v>2004</v>
      </c>
      <c r="D175" s="18">
        <v>31395</v>
      </c>
    </row>
    <row r="176" spans="1:4" x14ac:dyDescent="0.25">
      <c r="A176" t="str">
        <f t="shared" si="2"/>
        <v>Ohio2004</v>
      </c>
      <c r="B176" t="s">
        <v>39</v>
      </c>
      <c r="C176" s="2">
        <v>2004</v>
      </c>
      <c r="D176" s="18">
        <v>32478</v>
      </c>
    </row>
    <row r="177" spans="1:4" x14ac:dyDescent="0.25">
      <c r="A177" t="str">
        <f t="shared" si="2"/>
        <v>Oklahoma2004</v>
      </c>
      <c r="B177" t="s">
        <v>40</v>
      </c>
      <c r="C177" s="2">
        <v>2004</v>
      </c>
      <c r="D177" s="18">
        <v>29330</v>
      </c>
    </row>
    <row r="178" spans="1:4" x14ac:dyDescent="0.25">
      <c r="A178" t="str">
        <f t="shared" si="2"/>
        <v>Oregon2004</v>
      </c>
      <c r="B178" t="s">
        <v>41</v>
      </c>
      <c r="C178" s="2">
        <v>2004</v>
      </c>
      <c r="D178" s="18">
        <v>32103</v>
      </c>
    </row>
    <row r="179" spans="1:4" x14ac:dyDescent="0.25">
      <c r="A179" t="str">
        <f t="shared" si="2"/>
        <v>Pennsylvania2004</v>
      </c>
      <c r="B179" t="s">
        <v>42</v>
      </c>
      <c r="C179" s="2">
        <v>2004</v>
      </c>
      <c r="D179" s="18">
        <v>34897</v>
      </c>
    </row>
    <row r="180" spans="1:4" x14ac:dyDescent="0.25">
      <c r="A180" t="str">
        <f t="shared" si="2"/>
        <v>Rhode Island2004</v>
      </c>
      <c r="B180" t="s">
        <v>43</v>
      </c>
      <c r="C180" s="2">
        <v>2004</v>
      </c>
      <c r="D180" s="18">
        <v>36153</v>
      </c>
    </row>
    <row r="181" spans="1:4" x14ac:dyDescent="0.25">
      <c r="A181" t="str">
        <f t="shared" si="2"/>
        <v>South Carolina2004</v>
      </c>
      <c r="B181" t="s">
        <v>44</v>
      </c>
      <c r="C181" s="2">
        <v>2004</v>
      </c>
      <c r="D181" s="18">
        <v>28352</v>
      </c>
    </row>
    <row r="182" spans="1:4" x14ac:dyDescent="0.25">
      <c r="A182" t="str">
        <f t="shared" si="2"/>
        <v>South Dakota2004</v>
      </c>
      <c r="B182" t="s">
        <v>45</v>
      </c>
      <c r="C182" s="2">
        <v>2004</v>
      </c>
      <c r="D182" s="18">
        <v>31614</v>
      </c>
    </row>
    <row r="183" spans="1:4" x14ac:dyDescent="0.25">
      <c r="A183" t="str">
        <f t="shared" si="2"/>
        <v>Tennessee2004</v>
      </c>
      <c r="B183" t="s">
        <v>46</v>
      </c>
      <c r="C183" s="2">
        <v>2004</v>
      </c>
      <c r="D183" s="18">
        <v>31107</v>
      </c>
    </row>
    <row r="184" spans="1:4" x14ac:dyDescent="0.25">
      <c r="A184" t="str">
        <f t="shared" si="2"/>
        <v>Texas2004</v>
      </c>
      <c r="B184" t="s">
        <v>47</v>
      </c>
      <c r="C184" s="2">
        <v>2004</v>
      </c>
      <c r="D184" s="18">
        <v>32462</v>
      </c>
    </row>
    <row r="185" spans="1:4" x14ac:dyDescent="0.25">
      <c r="A185" t="str">
        <f t="shared" si="2"/>
        <v>Vermont2004</v>
      </c>
      <c r="B185" t="s">
        <v>49</v>
      </c>
      <c r="C185" s="2">
        <v>2004</v>
      </c>
      <c r="D185" s="18">
        <v>33327</v>
      </c>
    </row>
    <row r="186" spans="1:4" x14ac:dyDescent="0.25">
      <c r="A186" t="str">
        <f t="shared" si="2"/>
        <v>Virginia2004</v>
      </c>
      <c r="B186" t="s">
        <v>50</v>
      </c>
      <c r="C186" s="2">
        <v>2004</v>
      </c>
      <c r="D186" s="18">
        <v>38390</v>
      </c>
    </row>
    <row r="187" spans="1:4" x14ac:dyDescent="0.25">
      <c r="A187" t="str">
        <f t="shared" si="2"/>
        <v>Washington2004</v>
      </c>
      <c r="B187" t="s">
        <v>51</v>
      </c>
      <c r="C187" s="2">
        <v>2004</v>
      </c>
      <c r="D187" s="18">
        <v>35409</v>
      </c>
    </row>
    <row r="188" spans="1:4" x14ac:dyDescent="0.25">
      <c r="A188" t="str">
        <f t="shared" si="2"/>
        <v>West Virginia2004</v>
      </c>
      <c r="B188" t="s">
        <v>52</v>
      </c>
      <c r="C188" s="2">
        <v>2004</v>
      </c>
      <c r="D188" s="18">
        <v>27215</v>
      </c>
    </row>
    <row r="189" spans="1:4" x14ac:dyDescent="0.25">
      <c r="A189" t="str">
        <f t="shared" si="2"/>
        <v>Wisconsin2004</v>
      </c>
      <c r="B189" t="s">
        <v>53</v>
      </c>
      <c r="C189" s="2">
        <v>2004</v>
      </c>
      <c r="D189" s="18">
        <v>33565</v>
      </c>
    </row>
    <row r="190" spans="1:4" x14ac:dyDescent="0.25">
      <c r="A190" t="str">
        <f t="shared" si="2"/>
        <v>Wyoming2004</v>
      </c>
      <c r="B190" t="s">
        <v>54</v>
      </c>
      <c r="C190" s="2">
        <v>2004</v>
      </c>
      <c r="D190" s="18">
        <v>36778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G18"/>
  <sheetViews>
    <sheetView workbookViewId="0">
      <selection activeCell="G5" sqref="G5"/>
    </sheetView>
  </sheetViews>
  <sheetFormatPr defaultColWidth="8.7109375" defaultRowHeight="15" x14ac:dyDescent="0.25"/>
  <cols>
    <col min="2" max="2" width="12.85546875" style="55" customWidth="1"/>
    <col min="3" max="3" width="17.28515625" customWidth="1"/>
    <col min="4" max="4" width="12.85546875" customWidth="1"/>
    <col min="7" max="7" width="12.28515625" customWidth="1"/>
  </cols>
  <sheetData>
    <row r="1" spans="1:7" x14ac:dyDescent="0.25">
      <c r="A1" s="19" t="s">
        <v>1</v>
      </c>
      <c r="B1" s="54" t="s">
        <v>224</v>
      </c>
      <c r="C1" s="19" t="s">
        <v>225</v>
      </c>
      <c r="D1" s="19" t="s">
        <v>159</v>
      </c>
    </row>
    <row r="2" spans="1:7" x14ac:dyDescent="0.25">
      <c r="A2" s="2">
        <v>2000</v>
      </c>
      <c r="B2" s="6">
        <v>36487</v>
      </c>
      <c r="C2" s="6">
        <v>7079</v>
      </c>
      <c r="D2" s="6">
        <v>38</v>
      </c>
      <c r="F2" s="12" t="s">
        <v>160</v>
      </c>
      <c r="G2" s="49">
        <v>2000</v>
      </c>
    </row>
    <row r="3" spans="1:7" x14ac:dyDescent="0.25">
      <c r="A3" s="2">
        <v>2001</v>
      </c>
      <c r="B3" s="6">
        <v>35832</v>
      </c>
      <c r="C3" s="6">
        <v>9023</v>
      </c>
      <c r="D3" s="6">
        <v>42</v>
      </c>
      <c r="F3" s="12" t="s">
        <v>161</v>
      </c>
      <c r="G3" s="49" t="s">
        <v>224</v>
      </c>
    </row>
    <row r="4" spans="1:7" ht="15.75" thickBot="1" x14ac:dyDescent="0.3">
      <c r="A4" s="2">
        <v>2002</v>
      </c>
      <c r="B4" s="6">
        <v>31170</v>
      </c>
      <c r="C4" s="6">
        <v>7100</v>
      </c>
      <c r="D4" s="6">
        <v>40</v>
      </c>
    </row>
    <row r="5" spans="1:7" ht="15.75" thickBot="1" x14ac:dyDescent="0.3">
      <c r="A5" s="2">
        <v>2003</v>
      </c>
      <c r="B5" s="6">
        <v>27782</v>
      </c>
      <c r="C5" s="6">
        <v>8586</v>
      </c>
      <c r="D5" s="6">
        <v>46</v>
      </c>
      <c r="F5" s="23" t="s">
        <v>162</v>
      </c>
      <c r="G5" s="53">
        <f>INDEX($A$1:$D$18,MATCH($G$2,$A$1:$A$18,0),MATCH($G$3,$A$1:$D$1,0))</f>
        <v>36487</v>
      </c>
    </row>
    <row r="6" spans="1:7" x14ac:dyDescent="0.25">
      <c r="A6" s="2">
        <v>2004</v>
      </c>
      <c r="B6" s="6">
        <v>32952</v>
      </c>
      <c r="C6" s="6">
        <v>7726</v>
      </c>
      <c r="D6" s="6">
        <v>46</v>
      </c>
    </row>
    <row r="7" spans="1:7" x14ac:dyDescent="0.25">
      <c r="A7" s="2">
        <v>2005</v>
      </c>
      <c r="B7" s="6">
        <v>26275</v>
      </c>
      <c r="C7" s="6">
        <v>9759</v>
      </c>
      <c r="D7" s="6">
        <v>25</v>
      </c>
    </row>
    <row r="8" spans="1:7" x14ac:dyDescent="0.25">
      <c r="A8" s="2">
        <v>2006</v>
      </c>
      <c r="B8" s="6">
        <v>29767</v>
      </c>
      <c r="C8" s="6">
        <v>9325</v>
      </c>
      <c r="D8" s="6">
        <v>30</v>
      </c>
    </row>
    <row r="9" spans="1:7" x14ac:dyDescent="0.25">
      <c r="A9" s="2">
        <v>2007</v>
      </c>
      <c r="B9" s="6">
        <v>32118</v>
      </c>
      <c r="C9" s="6">
        <v>9154</v>
      </c>
      <c r="D9" s="6">
        <v>38</v>
      </c>
    </row>
    <row r="10" spans="1:7" x14ac:dyDescent="0.25">
      <c r="A10" s="2">
        <v>2008</v>
      </c>
      <c r="B10" s="6">
        <v>33634</v>
      </c>
      <c r="C10" s="6">
        <v>8377</v>
      </c>
      <c r="D10" s="6">
        <v>41</v>
      </c>
    </row>
    <row r="11" spans="1:7" x14ac:dyDescent="0.25">
      <c r="A11" s="2">
        <v>2009</v>
      </c>
      <c r="B11" s="6">
        <v>31634</v>
      </c>
      <c r="C11" s="6">
        <v>8069</v>
      </c>
      <c r="D11" s="6">
        <v>40</v>
      </c>
    </row>
    <row r="12" spans="1:7" x14ac:dyDescent="0.25">
      <c r="A12" s="2">
        <v>2010</v>
      </c>
      <c r="B12" s="6">
        <v>39392</v>
      </c>
      <c r="C12" s="6">
        <v>7266</v>
      </c>
      <c r="D12" s="6">
        <v>30</v>
      </c>
    </row>
    <row r="13" spans="1:7" x14ac:dyDescent="0.25">
      <c r="A13" s="2">
        <v>2011</v>
      </c>
      <c r="B13" s="6">
        <v>30892</v>
      </c>
      <c r="C13" s="6">
        <v>8895</v>
      </c>
      <c r="D13" s="6">
        <v>27</v>
      </c>
    </row>
    <row r="14" spans="1:7" x14ac:dyDescent="0.25">
      <c r="A14" s="2">
        <v>2012</v>
      </c>
      <c r="B14" s="6">
        <v>31450</v>
      </c>
      <c r="C14" s="6">
        <v>9986</v>
      </c>
      <c r="D14" s="6">
        <v>32</v>
      </c>
    </row>
    <row r="15" spans="1:7" x14ac:dyDescent="0.25">
      <c r="A15" s="2">
        <v>2013</v>
      </c>
      <c r="B15" s="6">
        <v>32382</v>
      </c>
      <c r="C15" s="6">
        <v>8232</v>
      </c>
      <c r="D15" s="6">
        <v>33</v>
      </c>
    </row>
    <row r="16" spans="1:7" x14ac:dyDescent="0.25">
      <c r="A16" s="2">
        <v>2014</v>
      </c>
      <c r="B16" s="6">
        <v>31536</v>
      </c>
      <c r="C16" s="6">
        <v>9653</v>
      </c>
      <c r="D16" s="6">
        <v>32</v>
      </c>
    </row>
    <row r="17" spans="1:4" x14ac:dyDescent="0.25">
      <c r="A17" s="2">
        <v>2015</v>
      </c>
      <c r="B17" s="6">
        <v>26286</v>
      </c>
      <c r="C17" s="6">
        <v>8467</v>
      </c>
      <c r="D17" s="6">
        <v>48</v>
      </c>
    </row>
    <row r="18" spans="1:4" x14ac:dyDescent="0.25">
      <c r="A18" s="2">
        <v>2016</v>
      </c>
      <c r="B18" s="6">
        <v>25347</v>
      </c>
      <c r="C18" s="6">
        <v>7541</v>
      </c>
      <c r="D18" s="6">
        <v>25</v>
      </c>
    </row>
  </sheetData>
  <dataValidations count="2">
    <dataValidation type="list" allowBlank="1" showInputMessage="1" showErrorMessage="1" sqref="G2" xr:uid="{00000000-0002-0000-0600-000000000000}">
      <formula1>$A$2:$A$18</formula1>
    </dataValidation>
    <dataValidation type="list" allowBlank="1" showInputMessage="1" showErrorMessage="1" sqref="G3" xr:uid="{00000000-0002-0000-0600-000001000000}">
      <formula1>$B$1:$D$1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D21"/>
  <sheetViews>
    <sheetView workbookViewId="0">
      <selection activeCell="D11" sqref="D11"/>
    </sheetView>
  </sheetViews>
  <sheetFormatPr defaultRowHeight="15" x14ac:dyDescent="0.25"/>
  <cols>
    <col min="1" max="1" width="12.140625" style="39" customWidth="1"/>
    <col min="2" max="2" width="11" style="2" customWidth="1"/>
    <col min="3" max="3" width="34.7109375" customWidth="1"/>
    <col min="4" max="4" width="9.5703125" customWidth="1"/>
  </cols>
  <sheetData>
    <row r="1" spans="1:4" ht="15.75" thickBot="1" x14ac:dyDescent="0.3">
      <c r="A1" s="37" t="s">
        <v>137</v>
      </c>
      <c r="B1" s="1" t="s">
        <v>202</v>
      </c>
      <c r="D1" s="23"/>
    </row>
    <row r="2" spans="1:4" ht="15.75" thickBot="1" x14ac:dyDescent="0.3">
      <c r="A2" s="38">
        <v>42370</v>
      </c>
      <c r="B2" s="2">
        <v>50</v>
      </c>
      <c r="C2" s="9" t="s">
        <v>204</v>
      </c>
      <c r="D2" s="41">
        <f>COUNTA(A:A)-1</f>
        <v>20</v>
      </c>
    </row>
    <row r="3" spans="1:4" ht="15.75" thickBot="1" x14ac:dyDescent="0.3">
      <c r="A3" s="38">
        <v>42371</v>
      </c>
      <c r="B3" s="2">
        <v>11</v>
      </c>
      <c r="D3" s="2"/>
    </row>
    <row r="4" spans="1:4" ht="15.75" thickBot="1" x14ac:dyDescent="0.3">
      <c r="A4" s="38">
        <v>42372</v>
      </c>
      <c r="B4" s="2">
        <v>79</v>
      </c>
      <c r="C4" s="9" t="s">
        <v>203</v>
      </c>
      <c r="D4" s="42">
        <f ca="1">OFFSET(A:A,20,,1,1)</f>
        <v>42389</v>
      </c>
    </row>
    <row r="5" spans="1:4" ht="15.75" thickBot="1" x14ac:dyDescent="0.3">
      <c r="A5" s="38">
        <v>42373</v>
      </c>
      <c r="B5" s="2">
        <v>51</v>
      </c>
      <c r="D5" s="23"/>
    </row>
    <row r="6" spans="1:4" ht="15.75" thickBot="1" x14ac:dyDescent="0.3">
      <c r="A6" s="38">
        <v>42374</v>
      </c>
      <c r="B6" s="2">
        <v>87</v>
      </c>
      <c r="C6" s="9" t="s">
        <v>206</v>
      </c>
      <c r="D6" s="42">
        <f ca="1">OFFSET(A1,COUNTA(A:A)-1,1,1,1)</f>
        <v>26</v>
      </c>
    </row>
    <row r="7" spans="1:4" ht="15.75" thickBot="1" x14ac:dyDescent="0.3">
      <c r="A7" s="38">
        <v>42375</v>
      </c>
      <c r="B7" s="2">
        <v>10</v>
      </c>
      <c r="D7" s="40"/>
    </row>
    <row r="8" spans="1:4" ht="15.75" thickBot="1" x14ac:dyDescent="0.3">
      <c r="A8" s="38">
        <v>42376</v>
      </c>
      <c r="B8" s="2">
        <v>13</v>
      </c>
      <c r="C8" s="9" t="s">
        <v>205</v>
      </c>
      <c r="D8" s="41">
        <f ca="1">SUM(OFFSET(B1,0,0,COUNTA(B:B),1))</f>
        <v>997</v>
      </c>
    </row>
    <row r="9" spans="1:4" ht="15.75" thickBot="1" x14ac:dyDescent="0.3">
      <c r="A9" s="38">
        <v>42377</v>
      </c>
      <c r="B9" s="2">
        <v>53</v>
      </c>
      <c r="C9" s="9"/>
      <c r="D9" s="40"/>
    </row>
    <row r="10" spans="1:4" ht="15.75" thickBot="1" x14ac:dyDescent="0.3">
      <c r="A10" s="38">
        <v>42378</v>
      </c>
      <c r="B10" s="2">
        <v>48</v>
      </c>
      <c r="C10" s="9" t="s">
        <v>207</v>
      </c>
      <c r="D10" s="41">
        <f ca="1">SUM(OFFSET(B1,0,0,COUNTA(B:B)-1,1))</f>
        <v>971</v>
      </c>
    </row>
    <row r="11" spans="1:4" x14ac:dyDescent="0.25">
      <c r="A11" s="38">
        <v>42379</v>
      </c>
      <c r="B11" s="2">
        <v>48</v>
      </c>
      <c r="D11" s="15"/>
    </row>
    <row r="12" spans="1:4" x14ac:dyDescent="0.25">
      <c r="A12" s="38">
        <v>42380</v>
      </c>
      <c r="B12" s="2">
        <v>34</v>
      </c>
    </row>
    <row r="13" spans="1:4" x14ac:dyDescent="0.25">
      <c r="A13" s="38">
        <v>42381</v>
      </c>
      <c r="B13" s="2">
        <v>68</v>
      </c>
    </row>
    <row r="14" spans="1:4" x14ac:dyDescent="0.25">
      <c r="A14" s="38">
        <v>42382</v>
      </c>
      <c r="B14" s="2">
        <v>50</v>
      </c>
    </row>
    <row r="15" spans="1:4" x14ac:dyDescent="0.25">
      <c r="A15" s="38">
        <v>42383</v>
      </c>
      <c r="B15" s="2">
        <v>16</v>
      </c>
    </row>
    <row r="16" spans="1:4" x14ac:dyDescent="0.25">
      <c r="A16" s="38">
        <v>42384</v>
      </c>
      <c r="B16" s="2">
        <v>61</v>
      </c>
    </row>
    <row r="17" spans="1:2" x14ac:dyDescent="0.25">
      <c r="A17" s="38">
        <v>42385</v>
      </c>
      <c r="B17" s="2">
        <v>41</v>
      </c>
    </row>
    <row r="18" spans="1:2" x14ac:dyDescent="0.25">
      <c r="A18" s="38">
        <v>42386</v>
      </c>
      <c r="B18" s="2">
        <v>99</v>
      </c>
    </row>
    <row r="19" spans="1:2" x14ac:dyDescent="0.25">
      <c r="A19" s="38">
        <v>42387</v>
      </c>
      <c r="B19" s="2">
        <v>68</v>
      </c>
    </row>
    <row r="20" spans="1:2" x14ac:dyDescent="0.25">
      <c r="A20" s="38">
        <v>42388</v>
      </c>
      <c r="B20" s="2">
        <v>84</v>
      </c>
    </row>
    <row r="21" spans="1:2" x14ac:dyDescent="0.25">
      <c r="A21" s="38">
        <v>42389</v>
      </c>
      <c r="B21" s="2">
        <v>26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H15"/>
  <sheetViews>
    <sheetView topLeftCell="A4" zoomScale="96" zoomScaleNormal="96" workbookViewId="0">
      <selection activeCell="D15" sqref="D15"/>
    </sheetView>
  </sheetViews>
  <sheetFormatPr defaultRowHeight="15" x14ac:dyDescent="0.25"/>
  <cols>
    <col min="1" max="1" width="27.7109375" customWidth="1"/>
    <col min="2" max="2" width="18.140625" customWidth="1"/>
    <col min="3" max="3" width="18" customWidth="1"/>
    <col min="4" max="4" width="18.42578125" customWidth="1"/>
    <col min="5" max="5" width="18.85546875" customWidth="1"/>
    <col min="6" max="6" width="16.28515625" customWidth="1"/>
    <col min="7" max="7" width="29.28515625" style="2" bestFit="1" customWidth="1"/>
    <col min="8" max="8" width="9.28515625" style="2" customWidth="1"/>
  </cols>
  <sheetData>
    <row r="1" spans="1:8" x14ac:dyDescent="0.25">
      <c r="A1" s="24" t="s">
        <v>188</v>
      </c>
      <c r="B1" s="25" t="s">
        <v>189</v>
      </c>
      <c r="C1" s="25" t="s">
        <v>190</v>
      </c>
      <c r="D1" s="25" t="s">
        <v>123</v>
      </c>
      <c r="E1" s="25" t="s">
        <v>191</v>
      </c>
      <c r="F1" s="25" t="s">
        <v>192</v>
      </c>
      <c r="G1" s="1" t="s">
        <v>221</v>
      </c>
      <c r="H1" s="1" t="s">
        <v>222</v>
      </c>
    </row>
    <row r="2" spans="1:8" x14ac:dyDescent="0.25">
      <c r="A2" s="26" t="s">
        <v>208</v>
      </c>
      <c r="B2" s="49" t="str">
        <f>LEFT(A2,6)</f>
        <v>133462</v>
      </c>
      <c r="C2" s="49" t="str">
        <f>LEFT(A2,SEARCH("-",A2)-1)</f>
        <v>133462</v>
      </c>
      <c r="D2" s="49" t="str">
        <f>MID(A2,SEARCH("-",A2)+1,2)</f>
        <v>AA</v>
      </c>
      <c r="E2" s="49" t="str">
        <f>IF(ISNUMBER(SEARCH("small",A2)),"SMALL",IF(ISNUMBER(SEARCH("Medium",A2)),"MEDIUM",IF(ISNUMBER(SEARCH("large",A2)),"LARGE","XL")))</f>
        <v>SMALL</v>
      </c>
      <c r="F2" s="49" t="str">
        <f>RIGHT(A2,LEN(A2)-SEARCH("_",A2))</f>
        <v>SMALL</v>
      </c>
      <c r="G2" s="49" t="str">
        <f>SUBSTITUTE(A2,"-","|",2)</f>
        <v>133462-AA|BOS_SMALL</v>
      </c>
      <c r="H2" s="49" t="str">
        <f>MID(G2,SEARCH("|",G2)+1,3)</f>
        <v>BOS</v>
      </c>
    </row>
    <row r="3" spans="1:8" x14ac:dyDescent="0.25">
      <c r="A3" s="26" t="s">
        <v>209</v>
      </c>
      <c r="B3" s="49" t="str">
        <f t="shared" ref="B3:B15" si="0">LEFT(A3,6)</f>
        <v>191768</v>
      </c>
      <c r="C3" s="49" t="str">
        <f t="shared" ref="C3:C15" si="1">LEFT(A3,SEARCH("-",A3)-1)</f>
        <v>191768</v>
      </c>
      <c r="D3" s="49" t="str">
        <f t="shared" ref="D3:D15" si="2">MID(A3,SEARCH("-",A3)+1,2)</f>
        <v>AC</v>
      </c>
      <c r="E3" s="49" t="str">
        <f t="shared" ref="E3:E15" si="3">IF(ISNUMBER(SEARCH("small",A3)),"SMALL",IF(ISNUMBER(SEARCH("Medium",A3)),"MEDIUM",IF(ISNUMBER(SEARCH("large",A3)),"LARGE","XL")))</f>
        <v>MEDIUM</v>
      </c>
      <c r="F3" s="49" t="str">
        <f t="shared" ref="F3:F15" si="4">RIGHT(A3,LEN(A3)-SEARCH("_",A3))</f>
        <v>MEDIUM</v>
      </c>
      <c r="G3" s="49" t="str">
        <f t="shared" ref="G3:G15" si="5">SUBSTITUTE(A3,"-","|",2)</f>
        <v>191768-AC|NYC_MEDIUM</v>
      </c>
      <c r="H3" s="49" t="str">
        <f t="shared" ref="H3:H15" si="6">MID(G3,SEARCH("|",G3)+1,3)</f>
        <v>NYC</v>
      </c>
    </row>
    <row r="4" spans="1:8" x14ac:dyDescent="0.25">
      <c r="A4" s="26" t="s">
        <v>210</v>
      </c>
      <c r="B4" s="49" t="str">
        <f t="shared" si="0"/>
        <v>157263</v>
      </c>
      <c r="C4" s="49" t="str">
        <f t="shared" si="1"/>
        <v>157263</v>
      </c>
      <c r="D4" s="49" t="str">
        <f t="shared" si="2"/>
        <v>BB</v>
      </c>
      <c r="E4" s="49" t="str">
        <f t="shared" si="3"/>
        <v>XL</v>
      </c>
      <c r="F4" s="49" t="str">
        <f t="shared" si="4"/>
        <v>XL</v>
      </c>
      <c r="G4" s="49" t="str">
        <f t="shared" si="5"/>
        <v>157263-BB|BOS_XL</v>
      </c>
      <c r="H4" s="49" t="str">
        <f t="shared" si="6"/>
        <v>BOS</v>
      </c>
    </row>
    <row r="5" spans="1:8" x14ac:dyDescent="0.25">
      <c r="A5" s="26" t="s">
        <v>211</v>
      </c>
      <c r="B5" s="49" t="str">
        <f t="shared" si="0"/>
        <v>173437</v>
      </c>
      <c r="C5" s="49" t="str">
        <f t="shared" si="1"/>
        <v>1734372</v>
      </c>
      <c r="D5" s="49" t="str">
        <f t="shared" si="2"/>
        <v>AA</v>
      </c>
      <c r="E5" s="49" t="str">
        <f t="shared" si="3"/>
        <v>SMALL</v>
      </c>
      <c r="F5" s="49" t="str">
        <f t="shared" si="4"/>
        <v>SMALL</v>
      </c>
      <c r="G5" s="49" t="str">
        <f t="shared" si="5"/>
        <v>1734372-AA|CHI_SMALL</v>
      </c>
      <c r="H5" s="49" t="str">
        <f t="shared" si="6"/>
        <v>CHI</v>
      </c>
    </row>
    <row r="6" spans="1:8" x14ac:dyDescent="0.25">
      <c r="A6" s="26" t="s">
        <v>212</v>
      </c>
      <c r="B6" s="49" t="str">
        <f t="shared" si="0"/>
        <v>135351</v>
      </c>
      <c r="C6" s="49" t="str">
        <f t="shared" si="1"/>
        <v>135351</v>
      </c>
      <c r="D6" s="49" t="str">
        <f t="shared" si="2"/>
        <v>BC</v>
      </c>
      <c r="E6" s="49" t="str">
        <f t="shared" si="3"/>
        <v>XL</v>
      </c>
      <c r="F6" s="49" t="str">
        <f t="shared" si="4"/>
        <v>XL</v>
      </c>
      <c r="G6" s="49" t="str">
        <f t="shared" si="5"/>
        <v>135351-BC|NYC_XL</v>
      </c>
      <c r="H6" s="49" t="str">
        <f t="shared" si="6"/>
        <v>NYC</v>
      </c>
    </row>
    <row r="7" spans="1:8" x14ac:dyDescent="0.25">
      <c r="A7" s="26" t="s">
        <v>213</v>
      </c>
      <c r="B7" s="49" t="str">
        <f t="shared" si="0"/>
        <v>143303</v>
      </c>
      <c r="C7" s="49" t="str">
        <f t="shared" si="1"/>
        <v>14330305</v>
      </c>
      <c r="D7" s="49" t="str">
        <f t="shared" si="2"/>
        <v>AC</v>
      </c>
      <c r="E7" s="49" t="str">
        <f t="shared" si="3"/>
        <v>LARGE</v>
      </c>
      <c r="F7" s="49" t="str">
        <f t="shared" si="4"/>
        <v>LARGE</v>
      </c>
      <c r="G7" s="49" t="str">
        <f t="shared" si="5"/>
        <v>14330305-AC|BOS_LARGE</v>
      </c>
      <c r="H7" s="49" t="str">
        <f t="shared" si="6"/>
        <v>BOS</v>
      </c>
    </row>
    <row r="8" spans="1:8" x14ac:dyDescent="0.25">
      <c r="A8" s="26" t="s">
        <v>214</v>
      </c>
      <c r="B8" s="49" t="str">
        <f t="shared" si="0"/>
        <v>177772</v>
      </c>
      <c r="C8" s="49" t="str">
        <f t="shared" si="1"/>
        <v>177772</v>
      </c>
      <c r="D8" s="49" t="str">
        <f t="shared" si="2"/>
        <v>BB</v>
      </c>
      <c r="E8" s="49" t="str">
        <f t="shared" si="3"/>
        <v>MEDIUM</v>
      </c>
      <c r="F8" s="49" t="str">
        <f t="shared" si="4"/>
        <v>MEDIUM</v>
      </c>
      <c r="G8" s="49" t="str">
        <f t="shared" si="5"/>
        <v>177772-BB|NYC_MEDIUM</v>
      </c>
      <c r="H8" s="49" t="str">
        <f t="shared" si="6"/>
        <v>NYC</v>
      </c>
    </row>
    <row r="9" spans="1:8" x14ac:dyDescent="0.25">
      <c r="A9" s="26" t="s">
        <v>215</v>
      </c>
      <c r="B9" s="49" t="str">
        <f t="shared" si="0"/>
        <v>871928</v>
      </c>
      <c r="C9" s="49" t="str">
        <f t="shared" si="1"/>
        <v>87192837</v>
      </c>
      <c r="D9" s="49" t="str">
        <f t="shared" si="2"/>
        <v>AB</v>
      </c>
      <c r="E9" s="49" t="str">
        <f t="shared" si="3"/>
        <v>XL</v>
      </c>
      <c r="F9" s="49" t="str">
        <f t="shared" si="4"/>
        <v>XL</v>
      </c>
      <c r="G9" s="49" t="str">
        <f t="shared" si="5"/>
        <v>87192837-AB|CHI_XL</v>
      </c>
      <c r="H9" s="49" t="str">
        <f t="shared" si="6"/>
        <v>CHI</v>
      </c>
    </row>
    <row r="10" spans="1:8" x14ac:dyDescent="0.25">
      <c r="A10" s="26" t="s">
        <v>216</v>
      </c>
      <c r="B10" s="49" t="str">
        <f t="shared" si="0"/>
        <v>161266</v>
      </c>
      <c r="C10" s="49" t="str">
        <f t="shared" si="1"/>
        <v>161266</v>
      </c>
      <c r="D10" s="49" t="str">
        <f t="shared" si="2"/>
        <v>BB</v>
      </c>
      <c r="E10" s="49" t="str">
        <f t="shared" si="3"/>
        <v>SMALL</v>
      </c>
      <c r="F10" s="49" t="str">
        <f t="shared" si="4"/>
        <v>SMALL</v>
      </c>
      <c r="G10" s="49" t="str">
        <f t="shared" si="5"/>
        <v>161266-BB|CHI_SMALL</v>
      </c>
      <c r="H10" s="49" t="str">
        <f t="shared" si="6"/>
        <v>CHI</v>
      </c>
    </row>
    <row r="11" spans="1:8" x14ac:dyDescent="0.25">
      <c r="A11" s="26" t="s">
        <v>217</v>
      </c>
      <c r="B11" s="49" t="str">
        <f t="shared" si="0"/>
        <v>122892</v>
      </c>
      <c r="C11" s="49" t="str">
        <f t="shared" si="1"/>
        <v>122892</v>
      </c>
      <c r="D11" s="49" t="str">
        <f t="shared" si="2"/>
        <v>AA</v>
      </c>
      <c r="E11" s="49" t="str">
        <f t="shared" si="3"/>
        <v>MEDIUM</v>
      </c>
      <c r="F11" s="49" t="str">
        <f t="shared" si="4"/>
        <v>MEDIUM</v>
      </c>
      <c r="G11" s="49" t="str">
        <f t="shared" si="5"/>
        <v>122892-AA|NYC_MEDIUM</v>
      </c>
      <c r="H11" s="49" t="str">
        <f t="shared" si="6"/>
        <v>NYC</v>
      </c>
    </row>
    <row r="12" spans="1:8" x14ac:dyDescent="0.25">
      <c r="A12" s="26" t="s">
        <v>218</v>
      </c>
      <c r="B12" s="49" t="str">
        <f t="shared" si="0"/>
        <v>128919</v>
      </c>
      <c r="C12" s="49" t="str">
        <f t="shared" si="1"/>
        <v>128919</v>
      </c>
      <c r="D12" s="49" t="str">
        <f t="shared" si="2"/>
        <v>AC</v>
      </c>
      <c r="E12" s="49" t="str">
        <f t="shared" si="3"/>
        <v>XL</v>
      </c>
      <c r="F12" s="49" t="str">
        <f t="shared" si="4"/>
        <v>XL</v>
      </c>
      <c r="G12" s="49" t="str">
        <f t="shared" si="5"/>
        <v>128919-AC|CHI_XL</v>
      </c>
      <c r="H12" s="49" t="str">
        <f t="shared" si="6"/>
        <v>CHI</v>
      </c>
    </row>
    <row r="13" spans="1:8" x14ac:dyDescent="0.25">
      <c r="A13" s="26" t="s">
        <v>219</v>
      </c>
      <c r="B13" s="49" t="str">
        <f t="shared" si="0"/>
        <v>191999</v>
      </c>
      <c r="C13" s="49" t="str">
        <f t="shared" si="1"/>
        <v>191999</v>
      </c>
      <c r="D13" s="49" t="str">
        <f t="shared" si="2"/>
        <v>BB</v>
      </c>
      <c r="E13" s="49" t="str">
        <f t="shared" si="3"/>
        <v>LARGE</v>
      </c>
      <c r="F13" s="49" t="str">
        <f t="shared" si="4"/>
        <v>LARGE</v>
      </c>
      <c r="G13" s="49" t="str">
        <f t="shared" si="5"/>
        <v>191999-BB|BOS_LARGE</v>
      </c>
      <c r="H13" s="49" t="str">
        <f t="shared" si="6"/>
        <v>BOS</v>
      </c>
    </row>
    <row r="14" spans="1:8" x14ac:dyDescent="0.25">
      <c r="A14" s="26" t="s">
        <v>220</v>
      </c>
      <c r="B14" s="49" t="str">
        <f t="shared" si="0"/>
        <v>117091</v>
      </c>
      <c r="C14" s="49" t="str">
        <f t="shared" si="1"/>
        <v>117091126</v>
      </c>
      <c r="D14" s="49" t="str">
        <f t="shared" si="2"/>
        <v>BC</v>
      </c>
      <c r="E14" s="49" t="str">
        <f t="shared" si="3"/>
        <v>LARGE</v>
      </c>
      <c r="F14" s="49" t="str">
        <f t="shared" si="4"/>
        <v>LARGE</v>
      </c>
      <c r="G14" s="49" t="str">
        <f t="shared" si="5"/>
        <v>117091126-BC|NYC_LARGE</v>
      </c>
      <c r="H14" s="49" t="str">
        <f t="shared" si="6"/>
        <v>NYC</v>
      </c>
    </row>
    <row r="15" spans="1:8" x14ac:dyDescent="0.25">
      <c r="A15" s="26" t="s">
        <v>223</v>
      </c>
      <c r="B15" s="49" t="str">
        <f t="shared" si="0"/>
        <v>112283</v>
      </c>
      <c r="C15" s="49" t="str">
        <f t="shared" si="1"/>
        <v>112283</v>
      </c>
      <c r="D15" s="49" t="str">
        <f t="shared" si="2"/>
        <v>AB</v>
      </c>
      <c r="E15" s="49" t="str">
        <f t="shared" si="3"/>
        <v>MEDIUM</v>
      </c>
      <c r="F15" s="49" t="str">
        <f t="shared" si="4"/>
        <v>MEDIUM</v>
      </c>
      <c r="G15" s="49" t="str">
        <f t="shared" si="5"/>
        <v>112283-AB|BOS_MEDIUM</v>
      </c>
      <c r="H15" s="49" t="str">
        <f t="shared" si="6"/>
        <v>BOS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G30"/>
  <sheetViews>
    <sheetView showGridLines="0" topLeftCell="A19" workbookViewId="0">
      <selection activeCell="F34" sqref="F34"/>
    </sheetView>
  </sheetViews>
  <sheetFormatPr defaultRowHeight="15" x14ac:dyDescent="0.25"/>
  <cols>
    <col min="1" max="1" width="4" customWidth="1"/>
    <col min="2" max="2" width="22" customWidth="1"/>
    <col min="3" max="3" width="20.140625" customWidth="1"/>
    <col min="4" max="4" width="9.5703125" customWidth="1"/>
    <col min="5" max="5" width="10.42578125" customWidth="1"/>
    <col min="6" max="6" width="12.28515625" customWidth="1"/>
    <col min="7" max="7" width="14.42578125" customWidth="1"/>
  </cols>
  <sheetData>
    <row r="1" spans="1:7" ht="15.75" thickBot="1" x14ac:dyDescent="0.3"/>
    <row r="2" spans="1:7" ht="16.5" thickBot="1" x14ac:dyDescent="0.3">
      <c r="B2" s="9" t="s">
        <v>146</v>
      </c>
      <c r="C2" s="43">
        <v>42005</v>
      </c>
    </row>
    <row r="3" spans="1:7" ht="16.5" thickBot="1" x14ac:dyDescent="0.3">
      <c r="B3" s="9" t="s">
        <v>147</v>
      </c>
      <c r="C3" s="43">
        <f ca="1">TODAY()</f>
        <v>46017</v>
      </c>
    </row>
    <row r="4" spans="1:7" ht="16.5" thickBot="1" x14ac:dyDescent="0.3">
      <c r="B4" s="9" t="s">
        <v>148</v>
      </c>
      <c r="C4" s="44">
        <f ca="1">NOW()</f>
        <v>46017.284527662036</v>
      </c>
    </row>
    <row r="6" spans="1:7" ht="15.75" thickBot="1" x14ac:dyDescent="0.3">
      <c r="B6" s="3" t="s">
        <v>149</v>
      </c>
      <c r="C6" s="3" t="s">
        <v>122</v>
      </c>
      <c r="D6" s="3" t="s">
        <v>120</v>
      </c>
      <c r="E6" s="3" t="s">
        <v>150</v>
      </c>
      <c r="F6" s="3" t="s">
        <v>151</v>
      </c>
      <c r="G6" s="3" t="s">
        <v>152</v>
      </c>
    </row>
    <row r="7" spans="1:7" ht="15.75" thickBot="1" x14ac:dyDescent="0.3">
      <c r="B7" s="45">
        <f ca="1">YEAR(C3)</f>
        <v>2025</v>
      </c>
      <c r="C7" s="45">
        <f ca="1">MONTH(C3)</f>
        <v>12</v>
      </c>
      <c r="D7" s="45">
        <f ca="1">DAY(C3)</f>
        <v>26</v>
      </c>
      <c r="E7" s="45">
        <f ca="1">HOUR(C4)</f>
        <v>6</v>
      </c>
      <c r="F7" s="45">
        <f ca="1">MINUTE(C4)</f>
        <v>49</v>
      </c>
      <c r="G7" s="45">
        <f ca="1">SECOND(C4)</f>
        <v>43</v>
      </c>
    </row>
    <row r="8" spans="1:7" ht="15.75" thickBot="1" x14ac:dyDescent="0.3">
      <c r="A8" s="21"/>
      <c r="B8" s="12"/>
      <c r="C8" s="12"/>
      <c r="D8" s="12"/>
      <c r="E8" s="12"/>
      <c r="F8" s="12"/>
      <c r="G8" s="12"/>
    </row>
    <row r="9" spans="1:7" ht="15.75" thickBot="1" x14ac:dyDescent="0.3">
      <c r="B9" s="9" t="s">
        <v>153</v>
      </c>
      <c r="C9" s="61">
        <f ca="1">WEEKDAY(C3)</f>
        <v>6</v>
      </c>
    </row>
    <row r="10" spans="1:7" ht="16.5" thickBot="1" x14ac:dyDescent="0.3">
      <c r="B10" s="9"/>
      <c r="C10" s="22"/>
    </row>
    <row r="11" spans="1:7" ht="16.5" thickBot="1" x14ac:dyDescent="0.3">
      <c r="B11" s="9" t="s">
        <v>154</v>
      </c>
      <c r="C11" s="43">
        <f ca="1">WORKDAY(C3,50)</f>
        <v>46087</v>
      </c>
    </row>
    <row r="12" spans="1:7" ht="16.5" thickBot="1" x14ac:dyDescent="0.3">
      <c r="B12" s="9" t="s">
        <v>155</v>
      </c>
      <c r="C12" s="46">
        <f ca="1">NETWORKDAYS(C2,C3)</f>
        <v>2867</v>
      </c>
    </row>
    <row r="13" spans="1:7" ht="15.75" thickBot="1" x14ac:dyDescent="0.3"/>
    <row r="14" spans="1:7" ht="16.5" thickBot="1" x14ac:dyDescent="0.3">
      <c r="B14" s="9" t="s">
        <v>156</v>
      </c>
      <c r="C14" s="43">
        <f ca="1">EOMONTH(C3,C7+1)</f>
        <v>46418</v>
      </c>
    </row>
    <row r="15" spans="1:7" ht="16.5" thickBot="1" x14ac:dyDescent="0.3">
      <c r="B15" s="9" t="s">
        <v>157</v>
      </c>
      <c r="C15" s="43">
        <f ca="1">EOMONTH(C3,-1)+1</f>
        <v>45992</v>
      </c>
    </row>
    <row r="16" spans="1:7" ht="16.5" thickBot="1" x14ac:dyDescent="0.3">
      <c r="B16" s="9" t="s">
        <v>158</v>
      </c>
      <c r="C16" s="43">
        <f ca="1">EOMONTH(C3,(-1*C7))+1</f>
        <v>45658</v>
      </c>
    </row>
    <row r="18" spans="2:2" x14ac:dyDescent="0.25">
      <c r="B18" s="1" t="s">
        <v>137</v>
      </c>
    </row>
    <row r="19" spans="2:2" x14ac:dyDescent="0.25">
      <c r="B19" s="20">
        <v>42005</v>
      </c>
    </row>
    <row r="20" spans="2:2" x14ac:dyDescent="0.25">
      <c r="B20" s="20">
        <v>42370</v>
      </c>
    </row>
    <row r="21" spans="2:2" x14ac:dyDescent="0.25">
      <c r="B21" s="20">
        <v>42736</v>
      </c>
    </row>
    <row r="22" spans="2:2" x14ac:dyDescent="0.25">
      <c r="B22" s="20">
        <v>43101</v>
      </c>
    </row>
    <row r="23" spans="2:2" x14ac:dyDescent="0.25">
      <c r="B23" s="20">
        <v>43466</v>
      </c>
    </row>
    <row r="24" spans="2:2" x14ac:dyDescent="0.25">
      <c r="B24" s="20">
        <v>43831</v>
      </c>
    </row>
    <row r="25" spans="2:2" x14ac:dyDescent="0.25">
      <c r="B25" s="20">
        <v>44197</v>
      </c>
    </row>
    <row r="26" spans="2:2" x14ac:dyDescent="0.25">
      <c r="B26" s="20">
        <v>44562</v>
      </c>
    </row>
    <row r="27" spans="2:2" x14ac:dyDescent="0.25">
      <c r="B27" s="20">
        <v>44927</v>
      </c>
    </row>
    <row r="28" spans="2:2" x14ac:dyDescent="0.25">
      <c r="B28" s="20">
        <v>45292</v>
      </c>
    </row>
    <row r="29" spans="2:2" x14ac:dyDescent="0.25">
      <c r="B29" s="20">
        <v>45658</v>
      </c>
    </row>
    <row r="30" spans="2:2" x14ac:dyDescent="0.25">
      <c r="B30" s="20">
        <v>46023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G25"/>
  <sheetViews>
    <sheetView topLeftCell="A5" zoomScale="73" zoomScaleNormal="73" workbookViewId="0">
      <selection activeCell="M23" sqref="M23"/>
    </sheetView>
  </sheetViews>
  <sheetFormatPr defaultRowHeight="15" x14ac:dyDescent="0.25"/>
  <cols>
    <col min="1" max="1" width="15.5703125" customWidth="1"/>
    <col min="2" max="2" width="18.42578125" style="36" customWidth="1"/>
    <col min="3" max="3" width="20.7109375" style="36" bestFit="1" customWidth="1"/>
    <col min="4" max="5" width="14.85546875" style="36" customWidth="1"/>
    <col min="6" max="6" width="26" style="2" bestFit="1" customWidth="1"/>
    <col min="7" max="7" width="15.42578125" style="57" bestFit="1" customWidth="1"/>
  </cols>
  <sheetData>
    <row r="1" spans="1:7" x14ac:dyDescent="0.25">
      <c r="A1" s="4" t="s">
        <v>137</v>
      </c>
      <c r="B1" s="7" t="s">
        <v>126</v>
      </c>
      <c r="C1" s="7" t="s">
        <v>138</v>
      </c>
      <c r="D1" s="7" t="s">
        <v>139</v>
      </c>
      <c r="E1" s="7" t="s">
        <v>140</v>
      </c>
      <c r="F1" s="4" t="s">
        <v>141</v>
      </c>
      <c r="G1" s="56" t="s">
        <v>142</v>
      </c>
    </row>
    <row r="2" spans="1:7" x14ac:dyDescent="0.25">
      <c r="A2" s="20">
        <v>41640</v>
      </c>
      <c r="B2" s="8">
        <v>1099</v>
      </c>
      <c r="C2" s="8">
        <v>275</v>
      </c>
      <c r="D2" s="8">
        <v>643</v>
      </c>
      <c r="E2" s="62">
        <f>B2-D2</f>
        <v>456</v>
      </c>
      <c r="F2" s="2" t="s">
        <v>143</v>
      </c>
      <c r="G2" s="63">
        <f>E2/B2</f>
        <v>0.41492265696087355</v>
      </c>
    </row>
    <row r="3" spans="1:7" x14ac:dyDescent="0.25">
      <c r="A3" s="20">
        <v>41671</v>
      </c>
      <c r="B3" s="8">
        <v>1204</v>
      </c>
      <c r="C3" s="8">
        <f>B3-B2</f>
        <v>105</v>
      </c>
      <c r="D3" s="8">
        <v>720</v>
      </c>
      <c r="E3" s="62">
        <v>211</v>
      </c>
      <c r="F3" s="2" t="s">
        <v>144</v>
      </c>
      <c r="G3" s="64">
        <f t="shared" ref="G3:G25" si="0">E3/B3</f>
        <v>0.17524916943521596</v>
      </c>
    </row>
    <row r="4" spans="1:7" x14ac:dyDescent="0.25">
      <c r="A4" s="20">
        <v>41699</v>
      </c>
      <c r="B4" s="8">
        <v>1944</v>
      </c>
      <c r="C4" s="8">
        <f t="shared" ref="C4:C25" si="1">B4-B3</f>
        <v>740</v>
      </c>
      <c r="D4" s="8">
        <v>964</v>
      </c>
      <c r="E4" s="62">
        <f t="shared" ref="E4:E25" si="2">B4-D4</f>
        <v>980</v>
      </c>
      <c r="F4" s="2" t="s">
        <v>145</v>
      </c>
      <c r="G4" s="64">
        <f t="shared" si="0"/>
        <v>0.50411522633744854</v>
      </c>
    </row>
    <row r="5" spans="1:7" x14ac:dyDescent="0.25">
      <c r="A5" s="20">
        <v>41730</v>
      </c>
      <c r="B5" s="8">
        <v>1743</v>
      </c>
      <c r="C5" s="8">
        <f t="shared" si="1"/>
        <v>-201</v>
      </c>
      <c r="D5" s="8">
        <v>830</v>
      </c>
      <c r="E5" s="62">
        <f t="shared" si="2"/>
        <v>913</v>
      </c>
      <c r="F5" s="2" t="s">
        <v>143</v>
      </c>
      <c r="G5" s="64">
        <f t="shared" si="0"/>
        <v>0.52380952380952384</v>
      </c>
    </row>
    <row r="6" spans="1:7" x14ac:dyDescent="0.25">
      <c r="A6" s="20">
        <v>41760</v>
      </c>
      <c r="B6" s="8">
        <v>1609</v>
      </c>
      <c r="C6" s="8">
        <f t="shared" si="1"/>
        <v>-134</v>
      </c>
      <c r="D6" s="8">
        <v>910</v>
      </c>
      <c r="E6" s="62">
        <f t="shared" si="2"/>
        <v>699</v>
      </c>
      <c r="F6" s="2" t="s">
        <v>144</v>
      </c>
      <c r="G6" s="64">
        <f t="shared" si="0"/>
        <v>0.43443132380360472</v>
      </c>
    </row>
    <row r="7" spans="1:7" x14ac:dyDescent="0.25">
      <c r="A7" s="20">
        <v>41791</v>
      </c>
      <c r="B7" s="8">
        <v>1494</v>
      </c>
      <c r="C7" s="8">
        <f t="shared" si="1"/>
        <v>-115</v>
      </c>
      <c r="D7" s="8">
        <v>909</v>
      </c>
      <c r="E7" s="62">
        <f t="shared" si="2"/>
        <v>585</v>
      </c>
      <c r="F7" s="2" t="s">
        <v>143</v>
      </c>
      <c r="G7" s="64">
        <f t="shared" si="0"/>
        <v>0.39156626506024095</v>
      </c>
    </row>
    <row r="8" spans="1:7" x14ac:dyDescent="0.25">
      <c r="A8" s="20">
        <v>41821</v>
      </c>
      <c r="B8" s="8">
        <v>1959</v>
      </c>
      <c r="C8" s="8">
        <f t="shared" si="1"/>
        <v>465</v>
      </c>
      <c r="D8" s="8">
        <v>830</v>
      </c>
      <c r="E8" s="62">
        <f t="shared" si="2"/>
        <v>1129</v>
      </c>
      <c r="F8" s="2" t="s">
        <v>144</v>
      </c>
      <c r="G8" s="64">
        <f t="shared" si="0"/>
        <v>0.57631444614599281</v>
      </c>
    </row>
    <row r="9" spans="1:7" x14ac:dyDescent="0.25">
      <c r="A9" s="20">
        <v>41852</v>
      </c>
      <c r="B9" s="8">
        <v>1868</v>
      </c>
      <c r="C9" s="8">
        <f t="shared" si="1"/>
        <v>-91</v>
      </c>
      <c r="D9" s="8">
        <v>906</v>
      </c>
      <c r="E9" s="62">
        <f t="shared" si="2"/>
        <v>962</v>
      </c>
      <c r="F9" s="2" t="s">
        <v>143</v>
      </c>
      <c r="G9" s="64">
        <f t="shared" si="0"/>
        <v>0.51498929336188437</v>
      </c>
    </row>
    <row r="10" spans="1:7" x14ac:dyDescent="0.25">
      <c r="A10" s="20">
        <v>41883</v>
      </c>
      <c r="B10" s="8">
        <v>1162</v>
      </c>
      <c r="C10" s="8">
        <f t="shared" si="1"/>
        <v>-706</v>
      </c>
      <c r="D10" s="8">
        <v>606</v>
      </c>
      <c r="E10" s="62">
        <f t="shared" si="2"/>
        <v>556</v>
      </c>
      <c r="F10" s="2" t="s">
        <v>145</v>
      </c>
      <c r="G10" s="64">
        <f t="shared" si="0"/>
        <v>0.47848537005163511</v>
      </c>
    </row>
    <row r="11" spans="1:7" x14ac:dyDescent="0.25">
      <c r="A11" s="20">
        <v>41913</v>
      </c>
      <c r="B11" s="8">
        <v>1424</v>
      </c>
      <c r="C11" s="8">
        <f t="shared" si="1"/>
        <v>262</v>
      </c>
      <c r="D11" s="8">
        <v>943</v>
      </c>
      <c r="E11" s="62">
        <f t="shared" si="2"/>
        <v>481</v>
      </c>
      <c r="F11" s="2" t="s">
        <v>145</v>
      </c>
      <c r="G11" s="64">
        <f t="shared" si="0"/>
        <v>0.3377808988764045</v>
      </c>
    </row>
    <row r="12" spans="1:7" x14ac:dyDescent="0.25">
      <c r="A12" s="20">
        <v>41944</v>
      </c>
      <c r="B12" s="8">
        <v>1232</v>
      </c>
      <c r="C12" s="8">
        <f t="shared" si="1"/>
        <v>-192</v>
      </c>
      <c r="D12" s="8">
        <v>801</v>
      </c>
      <c r="E12" s="62">
        <f t="shared" si="2"/>
        <v>431</v>
      </c>
      <c r="F12" s="2" t="s">
        <v>144</v>
      </c>
      <c r="G12" s="64">
        <f t="shared" si="0"/>
        <v>0.34983766233766234</v>
      </c>
    </row>
    <row r="13" spans="1:7" x14ac:dyDescent="0.25">
      <c r="A13" s="20">
        <v>41974</v>
      </c>
      <c r="B13" s="8">
        <v>1738</v>
      </c>
      <c r="C13" s="8">
        <f t="shared" si="1"/>
        <v>506</v>
      </c>
      <c r="D13" s="8">
        <v>786</v>
      </c>
      <c r="E13" s="62">
        <f t="shared" si="2"/>
        <v>952</v>
      </c>
      <c r="F13" s="2" t="s">
        <v>143</v>
      </c>
      <c r="G13" s="64">
        <f t="shared" si="0"/>
        <v>0.54775604142692746</v>
      </c>
    </row>
    <row r="14" spans="1:7" x14ac:dyDescent="0.25">
      <c r="A14" s="20">
        <v>42005</v>
      </c>
      <c r="B14" s="8">
        <v>1435</v>
      </c>
      <c r="C14" s="8">
        <f t="shared" si="1"/>
        <v>-303</v>
      </c>
      <c r="D14" s="8">
        <v>575</v>
      </c>
      <c r="E14" s="62">
        <f t="shared" si="2"/>
        <v>860</v>
      </c>
      <c r="F14" s="2" t="s">
        <v>144</v>
      </c>
      <c r="G14" s="64">
        <f t="shared" si="0"/>
        <v>0.5993031358885017</v>
      </c>
    </row>
    <row r="15" spans="1:7" x14ac:dyDescent="0.25">
      <c r="A15" s="20">
        <v>42036</v>
      </c>
      <c r="B15" s="8">
        <v>1865</v>
      </c>
      <c r="C15" s="8">
        <f t="shared" si="1"/>
        <v>430</v>
      </c>
      <c r="D15" s="8">
        <v>754</v>
      </c>
      <c r="E15" s="62">
        <f t="shared" si="2"/>
        <v>1111</v>
      </c>
      <c r="F15" s="2" t="s">
        <v>144</v>
      </c>
      <c r="G15" s="64">
        <f t="shared" si="0"/>
        <v>0.59571045576407511</v>
      </c>
    </row>
    <row r="16" spans="1:7" x14ac:dyDescent="0.25">
      <c r="A16" s="20">
        <v>42064</v>
      </c>
      <c r="B16" s="8">
        <v>1234</v>
      </c>
      <c r="C16" s="8">
        <f t="shared" si="1"/>
        <v>-631</v>
      </c>
      <c r="D16" s="8">
        <v>599</v>
      </c>
      <c r="E16" s="62">
        <f t="shared" si="2"/>
        <v>635</v>
      </c>
      <c r="F16" s="2" t="s">
        <v>143</v>
      </c>
      <c r="G16" s="64">
        <f t="shared" si="0"/>
        <v>0.51458670988654787</v>
      </c>
    </row>
    <row r="17" spans="1:7" x14ac:dyDescent="0.25">
      <c r="A17" s="20">
        <v>42095</v>
      </c>
      <c r="B17" s="8">
        <v>1577</v>
      </c>
      <c r="C17" s="8">
        <f t="shared" si="1"/>
        <v>343</v>
      </c>
      <c r="D17" s="8">
        <v>940</v>
      </c>
      <c r="E17" s="62">
        <f t="shared" si="2"/>
        <v>637</v>
      </c>
      <c r="F17" s="2" t="s">
        <v>144</v>
      </c>
      <c r="G17" s="64">
        <f t="shared" si="0"/>
        <v>0.40393151553582751</v>
      </c>
    </row>
    <row r="18" spans="1:7" x14ac:dyDescent="0.25">
      <c r="A18" s="20">
        <v>42125</v>
      </c>
      <c r="B18" s="8">
        <v>1983</v>
      </c>
      <c r="C18" s="8">
        <f t="shared" si="1"/>
        <v>406</v>
      </c>
      <c r="D18" s="8">
        <v>954</v>
      </c>
      <c r="E18" s="62">
        <f t="shared" si="2"/>
        <v>1029</v>
      </c>
      <c r="F18" s="2" t="s">
        <v>143</v>
      </c>
      <c r="G18" s="64">
        <f t="shared" si="0"/>
        <v>0.51891074130105896</v>
      </c>
    </row>
    <row r="19" spans="1:7" x14ac:dyDescent="0.25">
      <c r="A19" s="20">
        <v>42156</v>
      </c>
      <c r="B19" s="8">
        <v>1356</v>
      </c>
      <c r="C19" s="8">
        <f t="shared" si="1"/>
        <v>-627</v>
      </c>
      <c r="D19" s="8">
        <v>577</v>
      </c>
      <c r="E19" s="62">
        <f t="shared" si="2"/>
        <v>779</v>
      </c>
      <c r="F19" s="2" t="s">
        <v>145</v>
      </c>
      <c r="G19" s="64">
        <f t="shared" si="0"/>
        <v>0.57448377581120946</v>
      </c>
    </row>
    <row r="20" spans="1:7" x14ac:dyDescent="0.25">
      <c r="A20" s="20">
        <v>42186</v>
      </c>
      <c r="B20" s="8">
        <v>1874</v>
      </c>
      <c r="C20" s="8">
        <f t="shared" si="1"/>
        <v>518</v>
      </c>
      <c r="D20" s="8">
        <v>865</v>
      </c>
      <c r="E20" s="62">
        <v>883</v>
      </c>
      <c r="F20" s="2" t="s">
        <v>144</v>
      </c>
      <c r="G20" s="64">
        <f t="shared" si="0"/>
        <v>0.47118463180362863</v>
      </c>
    </row>
    <row r="21" spans="1:7" x14ac:dyDescent="0.25">
      <c r="A21" s="20">
        <v>42217</v>
      </c>
      <c r="B21" s="8">
        <v>1479</v>
      </c>
      <c r="C21" s="8">
        <f t="shared" si="1"/>
        <v>-395</v>
      </c>
      <c r="D21" s="8">
        <v>588</v>
      </c>
      <c r="E21" s="62">
        <f t="shared" si="2"/>
        <v>891</v>
      </c>
      <c r="F21" s="2" t="s">
        <v>143</v>
      </c>
      <c r="G21" s="64">
        <f t="shared" si="0"/>
        <v>0.60243407707910746</v>
      </c>
    </row>
    <row r="22" spans="1:7" x14ac:dyDescent="0.25">
      <c r="A22" s="20">
        <v>42248</v>
      </c>
      <c r="B22" s="8">
        <v>1943</v>
      </c>
      <c r="C22" s="8">
        <f t="shared" si="1"/>
        <v>464</v>
      </c>
      <c r="D22" s="8">
        <v>785</v>
      </c>
      <c r="E22" s="62">
        <v>712</v>
      </c>
      <c r="F22" s="2" t="s">
        <v>144</v>
      </c>
      <c r="G22" s="64">
        <f t="shared" si="0"/>
        <v>0.36644364384971695</v>
      </c>
    </row>
    <row r="23" spans="1:7" x14ac:dyDescent="0.25">
      <c r="A23" s="20">
        <v>42278</v>
      </c>
      <c r="B23" s="8">
        <v>1444</v>
      </c>
      <c r="C23" s="8">
        <f t="shared" si="1"/>
        <v>-499</v>
      </c>
      <c r="D23" s="8">
        <v>657</v>
      </c>
      <c r="E23" s="62">
        <f t="shared" si="2"/>
        <v>787</v>
      </c>
      <c r="F23" s="2" t="s">
        <v>143</v>
      </c>
      <c r="G23" s="64">
        <f t="shared" si="0"/>
        <v>0.54501385041551242</v>
      </c>
    </row>
    <row r="24" spans="1:7" x14ac:dyDescent="0.25">
      <c r="A24" s="20">
        <v>42309</v>
      </c>
      <c r="B24" s="8">
        <v>1493</v>
      </c>
      <c r="C24" s="8">
        <f t="shared" si="1"/>
        <v>49</v>
      </c>
      <c r="D24" s="8">
        <v>880</v>
      </c>
      <c r="E24" s="62">
        <f t="shared" si="2"/>
        <v>613</v>
      </c>
      <c r="F24" s="2" t="s">
        <v>145</v>
      </c>
      <c r="G24" s="64">
        <f t="shared" si="0"/>
        <v>0.4105827193569993</v>
      </c>
    </row>
    <row r="25" spans="1:7" x14ac:dyDescent="0.25">
      <c r="A25" s="20">
        <v>42339</v>
      </c>
      <c r="B25" s="8">
        <v>1738</v>
      </c>
      <c r="C25" s="8">
        <f t="shared" si="1"/>
        <v>245</v>
      </c>
      <c r="D25" s="8">
        <v>580</v>
      </c>
      <c r="E25" s="62">
        <f t="shared" si="2"/>
        <v>1158</v>
      </c>
      <c r="F25" s="2" t="s">
        <v>144</v>
      </c>
      <c r="G25" s="64">
        <f t="shared" si="0"/>
        <v>0.66628308400460301</v>
      </c>
    </row>
  </sheetData>
  <conditionalFormatting sqref="A2:A25">
    <cfRule type="expression" dxfId="1" priority="2">
      <formula>$G2&lt;0.4</formula>
    </cfRule>
  </conditionalFormatting>
  <conditionalFormatting sqref="A2:G25">
    <cfRule type="expression" dxfId="0" priority="1">
      <formula>$F2="Kids"</formula>
    </cfRule>
  </conditionalFormatting>
  <conditionalFormatting sqref="G2:G25">
    <cfRule type="colorScale" priority="6">
      <colorScale>
        <cfvo type="min"/>
        <cfvo type="percentile" val="50"/>
        <cfvo type="max"/>
        <color rgb="FFFF0000"/>
        <color rgb="FFFFEB84"/>
        <color theme="9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02D87E58-B8B2-469F-9D4F-85BF2B4A24AE}">
            <x14:iconSet custom="1">
              <x14:cfvo type="percent">
                <xm:f>0</xm:f>
              </x14:cfvo>
              <x14:cfvo type="num">
                <xm:f>-200</xm:f>
              </x14:cfvo>
              <x14:cfvo type="num" gte="0">
                <xm:f>200</xm:f>
              </x14:cfvo>
              <x14:cfIcon iconSet="3Arrows" iconId="0"/>
              <x14:cfIcon iconSet="3Arrows" iconId="1"/>
              <x14:cfIcon iconSet="3Arrows" iconId="2"/>
            </x14:iconSet>
          </x14:cfRule>
          <xm:sqref>C2:C25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J16"/>
  <sheetViews>
    <sheetView workbookViewId="0">
      <selection activeCell="H8" sqref="H8"/>
    </sheetView>
  </sheetViews>
  <sheetFormatPr defaultRowHeight="15" x14ac:dyDescent="0.25"/>
  <cols>
    <col min="1" max="1" width="15.5703125" style="2" customWidth="1"/>
    <col min="2" max="2" width="11.85546875" style="2" customWidth="1"/>
    <col min="3" max="3" width="13.5703125" style="2" customWidth="1"/>
    <col min="4" max="4" width="12.42578125" style="2" customWidth="1"/>
    <col min="5" max="5" width="15.28515625" style="2" customWidth="1"/>
    <col min="7" max="7" width="39.42578125" customWidth="1"/>
    <col min="8" max="8" width="11.7109375" customWidth="1"/>
  </cols>
  <sheetData>
    <row r="1" spans="1:10" ht="15.75" thickBot="1" x14ac:dyDescent="0.3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</row>
    <row r="2" spans="1:10" ht="15.75" thickBot="1" x14ac:dyDescent="0.3">
      <c r="A2" s="2" t="s">
        <v>231</v>
      </c>
      <c r="B2" s="2" t="s">
        <v>232</v>
      </c>
      <c r="C2" s="2" t="s">
        <v>144</v>
      </c>
      <c r="D2" s="8">
        <v>18270</v>
      </c>
      <c r="E2" s="8">
        <v>22873</v>
      </c>
      <c r="G2" s="9" t="s">
        <v>233</v>
      </c>
      <c r="H2" s="52">
        <f t="array" ref="H2">MAX(IF(Office="NYC",Sales02))</f>
        <v>25897</v>
      </c>
    </row>
    <row r="3" spans="1:10" ht="15.75" thickBot="1" x14ac:dyDescent="0.3">
      <c r="A3" s="2" t="s">
        <v>234</v>
      </c>
      <c r="B3" s="2" t="s">
        <v>232</v>
      </c>
      <c r="C3" s="2" t="s">
        <v>144</v>
      </c>
      <c r="D3" s="8">
        <v>20510</v>
      </c>
      <c r="E3" s="8">
        <v>21279</v>
      </c>
    </row>
    <row r="4" spans="1:10" ht="15.75" thickBot="1" x14ac:dyDescent="0.3">
      <c r="A4" s="2" t="s">
        <v>235</v>
      </c>
      <c r="B4" s="2" t="s">
        <v>232</v>
      </c>
      <c r="C4" s="2" t="s">
        <v>143</v>
      </c>
      <c r="D4" s="8">
        <v>15972</v>
      </c>
      <c r="E4" s="8">
        <v>13096</v>
      </c>
      <c r="G4" s="9" t="s">
        <v>236</v>
      </c>
      <c r="H4" s="52">
        <f t="array" ref="H4">MAX(IF((Office="NYC")*(C2:C16="Electronics"),Sales02))</f>
        <v>15414</v>
      </c>
    </row>
    <row r="5" spans="1:10" ht="15.75" thickBot="1" x14ac:dyDescent="0.3">
      <c r="A5" s="2" t="s">
        <v>237</v>
      </c>
      <c r="B5" s="2" t="s">
        <v>232</v>
      </c>
      <c r="C5" s="2" t="s">
        <v>143</v>
      </c>
      <c r="D5" s="8">
        <v>17347</v>
      </c>
      <c r="E5" s="8">
        <v>10990</v>
      </c>
    </row>
    <row r="6" spans="1:10" ht="15.75" thickBot="1" x14ac:dyDescent="0.3">
      <c r="A6" s="2" t="s">
        <v>238</v>
      </c>
      <c r="B6" s="2" t="s">
        <v>239</v>
      </c>
      <c r="C6" s="2" t="s">
        <v>144</v>
      </c>
      <c r="D6" s="8">
        <v>19635</v>
      </c>
      <c r="E6" s="8">
        <v>10283</v>
      </c>
      <c r="G6" s="9" t="s">
        <v>240</v>
      </c>
      <c r="H6" s="41">
        <f t="array" ref="H6">SUM(--(Sales02&gt;Sales01))</f>
        <v>9</v>
      </c>
      <c r="I6" s="12"/>
      <c r="J6" s="58"/>
    </row>
    <row r="7" spans="1:10" ht="15.75" thickBot="1" x14ac:dyDescent="0.3">
      <c r="A7" s="2" t="s">
        <v>170</v>
      </c>
      <c r="B7" s="2" t="s">
        <v>239</v>
      </c>
      <c r="C7" s="2" t="s">
        <v>144</v>
      </c>
      <c r="D7" s="8">
        <v>13190</v>
      </c>
      <c r="E7" s="8">
        <v>15332</v>
      </c>
      <c r="J7" s="59"/>
    </row>
    <row r="8" spans="1:10" ht="15.75" thickBot="1" x14ac:dyDescent="0.3">
      <c r="A8" s="2" t="s">
        <v>241</v>
      </c>
      <c r="B8" s="2" t="s">
        <v>239</v>
      </c>
      <c r="C8" s="2" t="s">
        <v>144</v>
      </c>
      <c r="D8" s="8">
        <v>17585</v>
      </c>
      <c r="E8" s="8">
        <v>15414</v>
      </c>
      <c r="G8" s="9" t="s">
        <v>242</v>
      </c>
      <c r="H8" s="52">
        <f t="array" ref="H8">SUM((D2:D16+E2:E16)*(B2:B16="BOS"))</f>
        <v>140337</v>
      </c>
    </row>
    <row r="9" spans="1:10" x14ac:dyDescent="0.25">
      <c r="A9" s="2" t="s">
        <v>243</v>
      </c>
      <c r="B9" s="2" t="s">
        <v>239</v>
      </c>
      <c r="C9" s="2" t="s">
        <v>143</v>
      </c>
      <c r="D9" s="8">
        <v>19588</v>
      </c>
      <c r="E9" s="8">
        <v>21973</v>
      </c>
    </row>
    <row r="10" spans="1:10" x14ac:dyDescent="0.25">
      <c r="A10" s="2" t="s">
        <v>244</v>
      </c>
      <c r="B10" s="2" t="s">
        <v>239</v>
      </c>
      <c r="C10" s="2" t="s">
        <v>143</v>
      </c>
      <c r="D10" s="8">
        <v>15769</v>
      </c>
      <c r="E10" s="8">
        <v>18721</v>
      </c>
    </row>
    <row r="11" spans="1:10" x14ac:dyDescent="0.25">
      <c r="A11" s="2" t="s">
        <v>245</v>
      </c>
      <c r="B11" s="2" t="s">
        <v>239</v>
      </c>
      <c r="C11" s="2" t="s">
        <v>143</v>
      </c>
      <c r="D11" s="8">
        <v>25347</v>
      </c>
      <c r="E11" s="8">
        <v>25897</v>
      </c>
    </row>
    <row r="12" spans="1:10" x14ac:dyDescent="0.25">
      <c r="A12" s="2" t="s">
        <v>246</v>
      </c>
      <c r="B12" s="2" t="s">
        <v>247</v>
      </c>
      <c r="C12" s="2" t="s">
        <v>144</v>
      </c>
      <c r="D12" s="8">
        <v>29120</v>
      </c>
      <c r="E12" s="8">
        <v>21824</v>
      </c>
    </row>
    <row r="13" spans="1:10" x14ac:dyDescent="0.25">
      <c r="A13" s="2" t="s">
        <v>248</v>
      </c>
      <c r="B13" s="2" t="s">
        <v>247</v>
      </c>
      <c r="C13" s="2" t="s">
        <v>144</v>
      </c>
      <c r="D13" s="8">
        <v>19325</v>
      </c>
      <c r="E13" s="8">
        <v>26697</v>
      </c>
    </row>
    <row r="14" spans="1:10" x14ac:dyDescent="0.25">
      <c r="A14" s="2" t="s">
        <v>249</v>
      </c>
      <c r="B14" s="2" t="s">
        <v>247</v>
      </c>
      <c r="C14" s="2" t="s">
        <v>144</v>
      </c>
      <c r="D14" s="8">
        <v>23810</v>
      </c>
      <c r="E14" s="8">
        <v>28543</v>
      </c>
    </row>
    <row r="15" spans="1:10" x14ac:dyDescent="0.25">
      <c r="A15" s="2" t="s">
        <v>250</v>
      </c>
      <c r="B15" s="2" t="s">
        <v>247</v>
      </c>
      <c r="C15" s="2" t="s">
        <v>143</v>
      </c>
      <c r="D15" s="8">
        <v>26508</v>
      </c>
      <c r="E15" s="8">
        <v>28682</v>
      </c>
    </row>
    <row r="16" spans="1:10" x14ac:dyDescent="0.25">
      <c r="A16" s="2" t="s">
        <v>251</v>
      </c>
      <c r="B16" s="2" t="s">
        <v>247</v>
      </c>
      <c r="C16" s="2" t="s">
        <v>143</v>
      </c>
      <c r="D16" s="8">
        <v>17872</v>
      </c>
      <c r="E16" s="8">
        <v>17631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59999389629810485"/>
  </sheetPr>
  <dimension ref="A1:L19"/>
  <sheetViews>
    <sheetView zoomScale="77" zoomScaleNormal="77" workbookViewId="0">
      <selection activeCell="L6" sqref="L6"/>
    </sheetView>
  </sheetViews>
  <sheetFormatPr defaultRowHeight="15" x14ac:dyDescent="0.25"/>
  <cols>
    <col min="1" max="1" width="12.28515625" style="2" customWidth="1"/>
    <col min="2" max="2" width="11.28515625" style="2" customWidth="1"/>
    <col min="3" max="3" width="11.7109375" style="8" customWidth="1"/>
    <col min="4" max="4" width="10.7109375" style="8" customWidth="1"/>
    <col min="5" max="5" width="3.140625" style="2" customWidth="1"/>
    <col min="6" max="6" width="19.7109375" style="2" customWidth="1"/>
    <col min="7" max="7" width="16.42578125" style="2" customWidth="1"/>
    <col min="8" max="8" width="2.85546875" customWidth="1"/>
    <col min="9" max="9" width="12.28515625" style="20" customWidth="1"/>
    <col min="10" max="10" width="10.7109375" style="2" customWidth="1"/>
    <col min="11" max="11" width="11.85546875" style="8" customWidth="1"/>
    <col min="12" max="12" width="13.28515625" style="36" customWidth="1"/>
  </cols>
  <sheetData>
    <row r="1" spans="1:12" s="23" customFormat="1" x14ac:dyDescent="0.25">
      <c r="A1" s="66" t="s">
        <v>193</v>
      </c>
      <c r="B1" s="66"/>
      <c r="C1" s="66"/>
      <c r="D1" s="66"/>
      <c r="E1" s="3"/>
      <c r="F1" s="67" t="s">
        <v>194</v>
      </c>
      <c r="G1" s="67"/>
      <c r="I1" s="68" t="s">
        <v>195</v>
      </c>
      <c r="J1" s="68"/>
      <c r="K1" s="68"/>
      <c r="L1" s="68"/>
    </row>
    <row r="2" spans="1:12" x14ac:dyDescent="0.25">
      <c r="A2" s="3" t="s">
        <v>137</v>
      </c>
      <c r="B2" s="3" t="s">
        <v>196</v>
      </c>
      <c r="C2" s="30" t="s">
        <v>126</v>
      </c>
      <c r="D2" s="30" t="s">
        <v>197</v>
      </c>
      <c r="F2" s="31" t="s">
        <v>198</v>
      </c>
      <c r="G2" s="32">
        <v>42373</v>
      </c>
      <c r="I2" s="33" t="s">
        <v>199</v>
      </c>
      <c r="J2" s="3" t="s">
        <v>196</v>
      </c>
      <c r="K2" s="30" t="s">
        <v>126</v>
      </c>
      <c r="L2" s="30" t="s">
        <v>197</v>
      </c>
    </row>
    <row r="3" spans="1:12" x14ac:dyDescent="0.25">
      <c r="A3" s="20">
        <v>42370</v>
      </c>
      <c r="B3" s="2" t="s">
        <v>81</v>
      </c>
      <c r="C3" s="8">
        <v>25000</v>
      </c>
      <c r="D3" s="8">
        <v>8000</v>
      </c>
      <c r="F3" s="31" t="s">
        <v>200</v>
      </c>
      <c r="G3" s="32">
        <v>42379</v>
      </c>
      <c r="I3" s="47">
        <f t="array" ref="I3">IFERROR(INDEX(A$3:A$14,SMALL(IF(($C$3:$C$14&gt;=$G$4)*($A$3:$A$14&gt;=$G$2)*($A$3:$A$14&lt;=$G$3),ROW(A$3:A$14)-2),ROWS(A$3:A3))),"")</f>
        <v>42373</v>
      </c>
      <c r="J3" s="47" t="str">
        <f t="array" ref="J3">IFERROR(INDEX(B$3:B$14,SMALL(IF(($C$3:$C$14&gt;=$G$4)*($A$3:$A$14&gt;=$G$2)*($A$3:$A$14&lt;=$G$3),ROW(B$3:B$14)-2),ROWS(B$3:B3))),"")</f>
        <v>D</v>
      </c>
      <c r="K3" s="48">
        <f t="array" ref="K3">IFERROR(INDEX(C$3:C$14,SMALL(IF(($C$3:$C$14&gt;=$G$4)*($A$3:$A$14&gt;=$G$2)*($A$3:$A$14&lt;=$G$3),ROW(C$3:C$14)-2),ROWS(C$3:C3))),"")</f>
        <v>150000</v>
      </c>
      <c r="L3" s="48">
        <f t="array" ref="L3">IFERROR(INDEX(D$3:D$14,SMALL(IF(($C$3:$C$14&gt;=$G$4)*($A$3:$A$14&gt;=$G$2)*($A$3:$A$14&lt;=$G$3),ROW(D$3:D$14)-2),ROWS(D$3:D3))),"")</f>
        <v>8000</v>
      </c>
    </row>
    <row r="4" spans="1:12" x14ac:dyDescent="0.25">
      <c r="A4" s="20">
        <v>42371</v>
      </c>
      <c r="B4" s="2" t="s">
        <v>75</v>
      </c>
      <c r="C4" s="8">
        <v>40000</v>
      </c>
      <c r="D4" s="8">
        <v>10000</v>
      </c>
      <c r="F4" s="31" t="s">
        <v>201</v>
      </c>
      <c r="G4" s="34">
        <v>100000</v>
      </c>
      <c r="I4" s="47">
        <f t="array" ref="I4">IFERROR(INDEX(A$3:A$14,SMALL(IF(($C$3:$C$14&gt;=$G$4)*($A$3:$A$14&gt;=$G$2)*($A$3:$A$14&lt;=$G$3),ROW(A$3:A$14)-2),ROWS(A$3:A4))),"")</f>
        <v>42376</v>
      </c>
      <c r="J4" s="47" t="str">
        <f t="array" ref="J4">IFERROR(INDEX(B$3:B$14,SMALL(IF(($C$3:$C$14&gt;=$G$4)*($A$3:$A$14&gt;=$G$2)*($A$3:$A$14&lt;=$G$3),ROW(B$3:B$14)-2),ROWS(B$3:B4))),"")</f>
        <v>G</v>
      </c>
      <c r="K4" s="48">
        <f t="array" ref="K4">IFERROR(INDEX(C$3:C$14,SMALL(IF(($C$3:$C$14&gt;=$G$4)*($A$3:$A$14&gt;=$G$2)*($A$3:$A$14&lt;=$G$3),ROW(C$3:C$14)-2),ROWS(C$3:C4))),"")</f>
        <v>120000</v>
      </c>
      <c r="L4" s="48">
        <f t="array" ref="L4">IFERROR(INDEX(D$3:D$14,SMALL(IF(($C$3:$C$14&gt;=$G$4)*($A$3:$A$14&gt;=$G$2)*($A$3:$A$14&lt;=$G$3),ROW(D$3:D$14)-2),ROWS(D$3:D4))),"")</f>
        <v>12000</v>
      </c>
    </row>
    <row r="5" spans="1:12" x14ac:dyDescent="0.25">
      <c r="A5" s="20">
        <v>42372</v>
      </c>
      <c r="B5" s="2" t="s">
        <v>77</v>
      </c>
      <c r="C5" s="8">
        <v>135000</v>
      </c>
      <c r="D5" s="8">
        <v>12500</v>
      </c>
      <c r="F5" s="9"/>
      <c r="G5" s="35"/>
      <c r="I5" s="47">
        <f t="array" ref="I5">IFERROR(INDEX(A$3:A$14,SMALL(IF(($C$3:$C$14&gt;=$G$4)*($A$3:$A$14&gt;=$G$2)*($A$3:$A$14&lt;=$G$3),ROW(A$3:A$14)-2),ROWS(A$3:A5))),"")</f>
        <v>42377</v>
      </c>
      <c r="J5" s="47" t="str">
        <f t="array" ref="J5">IFERROR(INDEX(B$3:B$14,SMALL(IF(($C$3:$C$14&gt;=$G$4)*($A$3:$A$14&gt;=$G$2)*($A$3:$A$14&lt;=$G$3),ROW(B$3:B$14)-2),ROWS(B$3:B5))),"")</f>
        <v>H</v>
      </c>
      <c r="K5" s="48">
        <f t="array" ref="K5">IFERROR(INDEX(C$3:C$14,SMALL(IF(($C$3:$C$14&gt;=$G$4)*($A$3:$A$14&gt;=$G$2)*($A$3:$A$14&lt;=$G$3),ROW(C$3:C$14)-2),ROWS(C$3:C5))),"")</f>
        <v>105000</v>
      </c>
      <c r="L5" s="48">
        <f t="array" ref="L5">IFERROR(INDEX(D$3:D$14,SMALL(IF(($C$3:$C$14&gt;=$G$4)*($A$3:$A$14&gt;=$G$2)*($A$3:$A$14&lt;=$G$3),ROW(D$3:D$14)-2),ROWS(D$3:D5))),"")</f>
        <v>10000</v>
      </c>
    </row>
    <row r="6" spans="1:12" x14ac:dyDescent="0.25">
      <c r="A6" s="20">
        <v>42373</v>
      </c>
      <c r="B6" s="2" t="s">
        <v>62</v>
      </c>
      <c r="C6" s="8">
        <v>150000</v>
      </c>
      <c r="D6" s="8">
        <v>8000</v>
      </c>
      <c r="I6" s="65">
        <f t="array" ref="I6">IFERROR(INDEX(A$3:A$14,SMALL(IF(($C$3:$C$14&gt;=$G$4)*($A$3:$A$14&gt;=$G$2)*($A$3:$A$14&lt;=$G$3),ROW(A$3:A$14)-2),ROWS(A$3:A6))),"")</f>
        <v>42379</v>
      </c>
      <c r="J6" s="47" t="str">
        <f t="array" ref="J6">IFERROR(INDEX(B$3:B$14,SMALL(IF(($C$3:$C$14&gt;=$G$4)*($A$3:$A$14&gt;=$G$2)*($A$3:$A$14&lt;=$G$3),ROW(B$3:B$14)-2),ROWS(B$3:B6))),"")</f>
        <v>J</v>
      </c>
      <c r="K6" s="48">
        <f t="array" ref="K6">IFERROR(INDEX(C$3:C$14,SMALL(IF(($C$3:$C$14&gt;=$G$4)*($A$3:$A$14&gt;=$G$2)*($A$3:$A$14&lt;=$G$3),ROW(C$3:C$14)-2),ROWS(C$3:C6))),"")</f>
        <v>110000</v>
      </c>
      <c r="L6" s="48">
        <f t="array" ref="L6">IFERROR(INDEX(D$3:D$14,SMALL(IF(($C$3:$C$14&gt;=$G$4)*($A$3:$A$14&gt;=$G$2)*($A$3:$A$14&lt;=$G$3),ROW(D$3:D$14)-2),ROWS(D$3:D6))),"")</f>
        <v>12000</v>
      </c>
    </row>
    <row r="7" spans="1:12" x14ac:dyDescent="0.25">
      <c r="A7" s="20">
        <v>42374</v>
      </c>
      <c r="B7" s="2" t="s">
        <v>72</v>
      </c>
      <c r="C7" s="8">
        <v>25000</v>
      </c>
      <c r="D7" s="8">
        <v>12000</v>
      </c>
      <c r="I7" s="47"/>
      <c r="J7" s="47"/>
      <c r="K7" s="48"/>
      <c r="L7" s="48"/>
    </row>
    <row r="8" spans="1:12" x14ac:dyDescent="0.25">
      <c r="A8" s="20">
        <v>42375</v>
      </c>
      <c r="B8" s="2" t="s">
        <v>70</v>
      </c>
      <c r="C8" s="8">
        <v>25000</v>
      </c>
      <c r="D8" s="8">
        <v>8000</v>
      </c>
      <c r="I8" s="47"/>
      <c r="J8" s="47"/>
      <c r="K8" s="48"/>
      <c r="L8" s="48"/>
    </row>
    <row r="9" spans="1:12" x14ac:dyDescent="0.25">
      <c r="A9" s="20">
        <v>42376</v>
      </c>
      <c r="B9" s="2" t="s">
        <v>93</v>
      </c>
      <c r="C9" s="8">
        <v>120000</v>
      </c>
      <c r="D9" s="8">
        <v>12000</v>
      </c>
      <c r="I9" s="47"/>
      <c r="J9" s="47"/>
      <c r="K9" s="48"/>
      <c r="L9" s="48"/>
    </row>
    <row r="10" spans="1:12" x14ac:dyDescent="0.25">
      <c r="A10" s="20">
        <v>42377</v>
      </c>
      <c r="B10" s="2" t="s">
        <v>69</v>
      </c>
      <c r="C10" s="8">
        <v>105000</v>
      </c>
      <c r="D10" s="8">
        <v>10000</v>
      </c>
      <c r="I10" s="47"/>
      <c r="J10" s="47"/>
      <c r="K10" s="48"/>
      <c r="L10" s="48"/>
    </row>
    <row r="11" spans="1:12" x14ac:dyDescent="0.25">
      <c r="A11" s="20">
        <v>42378</v>
      </c>
      <c r="B11" s="2" t="s">
        <v>108</v>
      </c>
      <c r="C11" s="8">
        <v>25000</v>
      </c>
      <c r="D11" s="8">
        <v>12000</v>
      </c>
      <c r="I11" s="47"/>
      <c r="J11" s="47"/>
      <c r="K11" s="48"/>
      <c r="L11" s="48"/>
    </row>
    <row r="12" spans="1:12" x14ac:dyDescent="0.25">
      <c r="A12" s="20">
        <v>42379</v>
      </c>
      <c r="B12" s="2" t="s">
        <v>56</v>
      </c>
      <c r="C12" s="8">
        <v>110000</v>
      </c>
      <c r="D12" s="8">
        <v>12000</v>
      </c>
      <c r="I12" s="47"/>
      <c r="J12" s="47"/>
      <c r="K12" s="48"/>
      <c r="L12" s="48"/>
    </row>
    <row r="13" spans="1:12" x14ac:dyDescent="0.25">
      <c r="A13" s="20">
        <v>42380</v>
      </c>
      <c r="B13" s="2" t="s">
        <v>65</v>
      </c>
      <c r="C13" s="8">
        <v>50000</v>
      </c>
      <c r="D13" s="8">
        <v>10000</v>
      </c>
      <c r="H13" s="2"/>
      <c r="I13" s="47"/>
      <c r="J13" s="47"/>
      <c r="K13" s="48"/>
      <c r="L13" s="48"/>
    </row>
    <row r="14" spans="1:12" x14ac:dyDescent="0.25">
      <c r="A14" s="20">
        <v>42381</v>
      </c>
      <c r="B14" s="2" t="s">
        <v>91</v>
      </c>
      <c r="C14" s="8">
        <v>25000</v>
      </c>
      <c r="D14" s="8">
        <v>12000</v>
      </c>
      <c r="H14" s="2"/>
      <c r="I14" s="47"/>
      <c r="J14" s="47"/>
      <c r="K14" s="48"/>
      <c r="L14" s="48"/>
    </row>
    <row r="15" spans="1:12" x14ac:dyDescent="0.25">
      <c r="H15" s="2"/>
      <c r="I15" s="20" t="str">
        <f t="array" ref="I15">IFERROR(INDEX(A$3:A$14,SMALL(IF(($C$3:$C$14&gt;=$G$4)*($A$3:$A$14&gt;=$G$2)*($A$3:$A$14&lt;=$G$3),ROW(A$3:A$14)-ROW(A$3)+1),ROWS(A$3:A15))),"")</f>
        <v/>
      </c>
      <c r="J15" s="20" t="str">
        <f t="array" ref="J15">IFERROR(INDEX(B$3:B$14,SMALL(IF(($C$3:$C$14&gt;=$G$4)*($A$3:$A$14&gt;=$G$2)*($A$3:$A$14&lt;=$G$3),ROW(B$3:B$14)-ROW(B$3)+1),ROWS(B$3:B15))),"")</f>
        <v/>
      </c>
      <c r="K15" s="8" t="str">
        <f t="array" ref="K15">IFERROR(INDEX(C$3:C$14,SMALL(IF(($C$3:$C$14&gt;=$G$4)*($A$3:$A$14&gt;=$G$2)*($A$3:$A$14&lt;=$G$3),ROW(C$3:C$14)-ROW(C$3)+1),ROWS(C$3:C15))),"")</f>
        <v/>
      </c>
      <c r="L15" s="8" t="str">
        <f t="array" ref="L15">IFERROR(INDEX(D$3:D$14,SMALL(IF(($C$3:$C$14&gt;=$G$4)*($A$3:$A$14&gt;=$G$2)*($A$3:$A$14&lt;=$G$3),ROW(D$3:D$14)-ROW(D$3)+1),ROWS(D$3:D15))),"")</f>
        <v/>
      </c>
    </row>
    <row r="16" spans="1:12" x14ac:dyDescent="0.25">
      <c r="H16" s="2"/>
      <c r="I16" s="20" t="str">
        <f t="array" ref="I16">IFERROR(INDEX(A$3:A$14,SMALL(IF(($C$3:$C$14&gt;=$G$4)*($A$3:$A$14&gt;=$G$2)*($A$3:$A$14&lt;=$G$3),ROW(A$3:A$14)-ROW(A$3)+1),ROWS(A$3:A16))),"")</f>
        <v/>
      </c>
      <c r="J16" s="20" t="str">
        <f t="array" ref="J16">IFERROR(INDEX(B$3:B$14,SMALL(IF(($C$3:$C$14&gt;=$G$4)*($A$3:$A$14&gt;=$G$2)*($A$3:$A$14&lt;=$G$3),ROW(B$3:B$14)-ROW(B$3)+1),ROWS(B$3:B16))),"")</f>
        <v/>
      </c>
      <c r="K16" s="8" t="str">
        <f t="array" ref="K16">IFERROR(INDEX(C$3:C$14,SMALL(IF(($C$3:$C$14&gt;=$G$4)*($A$3:$A$14&gt;=$G$2)*($A$3:$A$14&lt;=$G$3),ROW(C$3:C$14)-ROW(C$3)+1),ROWS(C$3:C16))),"")</f>
        <v/>
      </c>
      <c r="L16" s="8" t="str">
        <f t="array" ref="L16">IFERROR(INDEX(D$3:D$14,SMALL(IF(($C$3:$C$14&gt;=$G$4)*($A$3:$A$14&gt;=$G$2)*($A$3:$A$14&lt;=$G$3),ROW(D$3:D$14)-ROW(D$3)+1),ROWS(D$3:D16))),"")</f>
        <v/>
      </c>
    </row>
    <row r="17" spans="8:12" x14ac:dyDescent="0.25">
      <c r="H17" s="2"/>
      <c r="I17" s="20" t="str">
        <f t="array" ref="I17">IFERROR(INDEX(A$3:A$14,SMALL(IF(($C$3:$C$14&gt;=$G$4)*($A$3:$A$14&gt;=$G$2)*($A$3:$A$14&lt;=$G$3),ROW(A$3:A$14)-ROW(A$3)+1),ROWS(A$3:A17))),"")</f>
        <v/>
      </c>
      <c r="J17" s="20" t="str">
        <f t="array" ref="J17">IFERROR(INDEX(B$3:B$14,SMALL(IF(($C$3:$C$14&gt;=$G$4)*($A$3:$A$14&gt;=$G$2)*($A$3:$A$14&lt;=$G$3),ROW(B$3:B$14)-ROW(B$3)+1),ROWS(B$3:B17))),"")</f>
        <v/>
      </c>
      <c r="K17" s="8" t="str">
        <f t="array" ref="K17">IFERROR(INDEX(C$3:C$14,SMALL(IF(($C$3:$C$14&gt;=$G$4)*($A$3:$A$14&gt;=$G$2)*($A$3:$A$14&lt;=$G$3),ROW(C$3:C$14)-ROW(C$3)+1),ROWS(C$3:C17))),"")</f>
        <v/>
      </c>
      <c r="L17" s="8" t="str">
        <f t="array" ref="L17">IFERROR(INDEX(D$3:D$14,SMALL(IF(($C$3:$C$14&gt;=$G$4)*($A$3:$A$14&gt;=$G$2)*($A$3:$A$14&lt;=$G$3),ROW(D$3:D$14)-ROW(D$3)+1),ROWS(D$3:D17))),"")</f>
        <v/>
      </c>
    </row>
    <row r="18" spans="8:12" x14ac:dyDescent="0.25">
      <c r="H18" s="2"/>
      <c r="I18" s="20" t="str">
        <f t="array" ref="I18">IFERROR(INDEX(A$3:A$14,SMALL(IF(($C$3:$C$14&gt;=$G$4)*($A$3:$A$14&gt;=$G$2)*($A$3:$A$14&lt;=$G$3),ROW(A$3:A$14)-ROW(A$3)+1),ROWS(A$3:A18))),"")</f>
        <v/>
      </c>
      <c r="J18" s="20" t="str">
        <f t="array" ref="J18">IFERROR(INDEX(B$3:B$14,SMALL(IF(($C$3:$C$14&gt;=$G$4)*($A$3:$A$14&gt;=$G$2)*($A$3:$A$14&lt;=$G$3),ROW(B$3:B$14)-ROW(B$3)+1),ROWS(B$3:B18))),"")</f>
        <v/>
      </c>
      <c r="K18" s="8" t="str">
        <f t="array" ref="K18">IFERROR(INDEX(C$3:C$14,SMALL(IF(($C$3:$C$14&gt;=$G$4)*($A$3:$A$14&gt;=$G$2)*($A$3:$A$14&lt;=$G$3),ROW(C$3:C$14)-ROW(C$3)+1),ROWS(C$3:C18))),"")</f>
        <v/>
      </c>
      <c r="L18" s="8" t="str">
        <f t="array" ref="L18">IFERROR(INDEX(D$3:D$14,SMALL(IF(($C$3:$C$14&gt;=$G$4)*($A$3:$A$14&gt;=$G$2)*($A$3:$A$14&lt;=$G$3),ROW(D$3:D$14)-ROW(D$3)+1),ROWS(D$3:D18))),"")</f>
        <v/>
      </c>
    </row>
    <row r="19" spans="8:12" x14ac:dyDescent="0.25">
      <c r="H19" s="2"/>
      <c r="I19" s="20" t="str">
        <f t="array" ref="I19">IFERROR(INDEX(A$3:A$14,SMALL(IF(($C$3:$C$14&gt;=$G$4)*($A$3:$A$14&gt;=$G$2)*($A$3:$A$14&lt;=$G$3),ROW(A$3:A$14)-ROW(A$3)+1),ROWS(A$3:A19))),"")</f>
        <v/>
      </c>
      <c r="J19" s="20" t="str">
        <f t="array" ref="J19">IFERROR(INDEX(B$3:B$14,SMALL(IF(($C$3:$C$14&gt;=$G$4)*($A$3:$A$14&gt;=$G$2)*($A$3:$A$14&lt;=$G$3),ROW(B$3:B$14)-ROW(B$3)+1),ROWS(B$3:B19))),"")</f>
        <v/>
      </c>
      <c r="K19" s="8" t="str">
        <f t="array" ref="K19">IFERROR(INDEX(C$3:C$14,SMALL(IF(($C$3:$C$14&gt;=$G$4)*($A$3:$A$14&gt;=$G$2)*($A$3:$A$14&lt;=$G$3),ROW(C$3:C$14)-ROW(C$3)+1),ROWS(C$3:C19))),"")</f>
        <v/>
      </c>
      <c r="L19" s="8" t="str">
        <f t="array" ref="L19">IFERROR(INDEX(D$3:D$14,SMALL(IF(($C$3:$C$14&gt;=$G$4)*($A$3:$A$14&gt;=$G$2)*($A$3:$A$14&lt;=$G$3),ROW(D$3:D$14)-ROW(D$3)+1),ROWS(D$3:D19))),"")</f>
        <v/>
      </c>
    </row>
  </sheetData>
  <mergeCells count="3">
    <mergeCell ref="A1:D1"/>
    <mergeCell ref="F1:G1"/>
    <mergeCell ref="I1:L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Formulas 101</vt:lpstr>
      <vt:lpstr>Logical Operators</vt:lpstr>
      <vt:lpstr>Stats Functions</vt:lpstr>
      <vt:lpstr>Lookup Functions</vt:lpstr>
      <vt:lpstr>State Abbreviations</vt:lpstr>
      <vt:lpstr>State Income (2001-2004)</vt:lpstr>
      <vt:lpstr>INDEX &amp; MATCH</vt:lpstr>
      <vt:lpstr>OFFSET &amp; COUNTA</vt:lpstr>
      <vt:lpstr>Text Functions</vt:lpstr>
      <vt:lpstr>Date &amp; Time Functions</vt:lpstr>
      <vt:lpstr>Formula Formatting</vt:lpstr>
      <vt:lpstr>Array Functions</vt:lpstr>
      <vt:lpstr>Bonus Array Function</vt:lpstr>
      <vt:lpstr>Office</vt:lpstr>
      <vt:lpstr>Sales01</vt:lpstr>
      <vt:lpstr>Sales02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Michael Adesanya</cp:lastModifiedBy>
  <dcterms:created xsi:type="dcterms:W3CDTF">2015-08-01T18:39:33Z</dcterms:created>
  <dcterms:modified xsi:type="dcterms:W3CDTF">2025-12-26T06:08:51Z</dcterms:modified>
</cp:coreProperties>
</file>